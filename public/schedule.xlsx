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BMITB\Downloads\"/>
    </mc:Choice>
  </mc:AlternateContent>
  <xr:revisionPtr revIDLastSave="0" documentId="13_ncr:1_{0207E383-945E-48FD-AD98-70F2D19065B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xecutive" sheetId="1" r:id="rId1"/>
    <sheet name="Regular" sheetId="2" r:id="rId2"/>
    <sheet name="ENMARK" sheetId="3" r:id="rId3"/>
    <sheet name="MCP Output Test" sheetId="4" r:id="rId4"/>
    <sheet name="Short Semester Team Teaching" sheetId="5" state="hidden" r:id="rId5"/>
    <sheet name="COMBINED SCHEDULE DRAFT" sheetId="6" r:id="rId6"/>
    <sheet name="MCP DRAFT V2" sheetId="7" r:id="rId7"/>
    <sheet name="COMBINED SCHEDULE DRAFT ALT" sheetId="8" r:id="rId8"/>
    <sheet name="JUNE" sheetId="9" state="hidden" r:id="rId9"/>
    <sheet name="JULY" sheetId="10" state="hidden" r:id="rId10"/>
    <sheet name="AUGUST" sheetId="11" state="hidden" r:id="rId11"/>
    <sheet name="SEPTEMBER" sheetId="12" state="hidden" r:id="rId12"/>
    <sheet name="Time and Session Reference Shee" sheetId="13" r:id="rId13"/>
    <sheet name="Scheduling Tool" sheetId="14" state="hidden" r:id="rId14"/>
    <sheet name="Intake" sheetId="15" r:id="rId15"/>
    <sheet name="MCP DRAFT (OLD)" sheetId="16" r:id="rId16"/>
    <sheet name="Comparison" sheetId="17" r:id="rId17"/>
  </sheets>
  <definedNames>
    <definedName name="_xlnm._FilterDatabase" localSheetId="0" hidden="1">Executive!$A$1:$AH$1016</definedName>
    <definedName name="_xlnm._FilterDatabase" localSheetId="15" hidden="1">'MCP DRAFT (OLD)'!$A$3:$H$191</definedName>
    <definedName name="_xlnm._FilterDatabase" localSheetId="6" hidden="1">'MCP DRAFT V2'!$A$3:$H$189</definedName>
    <definedName name="_xlnm._FilterDatabase" localSheetId="1" hidden="1">Regular!$A$1:$AS$222</definedName>
    <definedName name="_xlnm._FilterDatabase" localSheetId="4" hidden="1">'Short Semester Team Teaching'!$A$1:$F$34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5wYeGgpcKnhdFmA7VwKvC2O7ipbG29zx3IxHvYOfmXk="/>
    </ext>
  </extLst>
</workbook>
</file>

<file path=xl/calcChain.xml><?xml version="1.0" encoding="utf-8"?>
<calcChain xmlns="http://schemas.openxmlformats.org/spreadsheetml/2006/main">
  <c r="C22" i="14" l="1"/>
  <c r="G22" i="14" s="1"/>
  <c r="C21" i="14"/>
  <c r="G21" i="14" s="1"/>
  <c r="C19" i="14"/>
  <c r="C18" i="14"/>
  <c r="G18" i="14" s="1"/>
  <c r="C17" i="14"/>
  <c r="G17" i="14" s="1"/>
  <c r="C16" i="14"/>
  <c r="G16" i="14" s="1"/>
  <c r="G15" i="14"/>
  <c r="C15" i="14"/>
  <c r="F15" i="14" s="1"/>
  <c r="C14" i="14"/>
  <c r="F14" i="14" s="1"/>
  <c r="C12" i="14"/>
  <c r="C11" i="14"/>
  <c r="E11" i="14" s="1"/>
  <c r="C10" i="14"/>
  <c r="E10" i="14" s="1"/>
  <c r="C9" i="14"/>
  <c r="E9" i="14" s="1"/>
  <c r="C8" i="14"/>
  <c r="E8" i="14" s="1"/>
  <c r="C7" i="14"/>
  <c r="E7" i="14" s="1"/>
  <c r="C6" i="14"/>
  <c r="E6" i="14" s="1"/>
  <c r="C5" i="14"/>
  <c r="E5" i="14" s="1"/>
  <c r="F4" i="14"/>
  <c r="E4" i="14"/>
  <c r="G4" i="14" s="1"/>
  <c r="C4" i="14"/>
  <c r="D4" i="14" s="1"/>
  <c r="E3" i="14"/>
  <c r="G3" i="14" s="1"/>
  <c r="C3" i="14"/>
  <c r="D3" i="14" s="1"/>
  <c r="C13" i="12"/>
  <c r="D13" i="12" s="1"/>
  <c r="E13" i="12" s="1"/>
  <c r="F13" i="12" s="1"/>
  <c r="G13" i="12" s="1"/>
  <c r="H13" i="12" s="1"/>
  <c r="I13" i="12" s="1"/>
  <c r="C15" i="12" s="1"/>
  <c r="D15" i="12" s="1"/>
  <c r="E15" i="12" s="1"/>
  <c r="F15" i="12" s="1"/>
  <c r="G15" i="12" s="1"/>
  <c r="H15" i="12" s="1"/>
  <c r="I15" i="12" s="1"/>
  <c r="C17" i="12" s="1"/>
  <c r="D17" i="12" s="1"/>
  <c r="E17" i="12" s="1"/>
  <c r="F17" i="12" s="1"/>
  <c r="G17" i="12" s="1"/>
  <c r="H17" i="12" s="1"/>
  <c r="I17" i="12" s="1"/>
  <c r="C19" i="12" s="1"/>
  <c r="D19" i="12" s="1"/>
  <c r="E19" i="12" s="1"/>
  <c r="F19" i="12" s="1"/>
  <c r="G19" i="12" s="1"/>
  <c r="H19" i="12" s="1"/>
  <c r="I19" i="12" s="1"/>
  <c r="C21" i="12" s="1"/>
  <c r="D21" i="12" s="1"/>
  <c r="H13" i="11"/>
  <c r="I13" i="11" s="1"/>
  <c r="C20" i="11" s="1"/>
  <c r="D20" i="11" s="1"/>
  <c r="E20" i="11" s="1"/>
  <c r="F20" i="11" s="1"/>
  <c r="G20" i="11" s="1"/>
  <c r="H20" i="11" s="1"/>
  <c r="I20" i="11" s="1"/>
  <c r="C31" i="11" s="1"/>
  <c r="D31" i="11" s="1"/>
  <c r="E31" i="11" s="1"/>
  <c r="F31" i="11" s="1"/>
  <c r="G31" i="11" s="1"/>
  <c r="H31" i="11" s="1"/>
  <c r="I31" i="11" s="1"/>
  <c r="C42" i="11" s="1"/>
  <c r="D42" i="11" s="1"/>
  <c r="E42" i="11" s="1"/>
  <c r="F42" i="11" s="1"/>
  <c r="G42" i="11" s="1"/>
  <c r="H42" i="11" s="1"/>
  <c r="I42" i="11" s="1"/>
  <c r="C53" i="11" s="1"/>
  <c r="D53" i="11" s="1"/>
  <c r="E53" i="11" s="1"/>
  <c r="F53" i="11" s="1"/>
  <c r="G53" i="11" s="1"/>
  <c r="H53" i="11" s="1"/>
  <c r="I53" i="11" s="1"/>
  <c r="C57" i="11" s="1"/>
  <c r="H13" i="10"/>
  <c r="I13" i="10" s="1"/>
  <c r="C24" i="10" s="1"/>
  <c r="D24" i="10" s="1"/>
  <c r="E24" i="10" s="1"/>
  <c r="F24" i="10" s="1"/>
  <c r="G24" i="10" s="1"/>
  <c r="H24" i="10" s="1"/>
  <c r="I24" i="10" s="1"/>
  <c r="C36" i="10" s="1"/>
  <c r="D36" i="10" s="1"/>
  <c r="E36" i="10" s="1"/>
  <c r="F36" i="10" s="1"/>
  <c r="G36" i="10" s="1"/>
  <c r="H36" i="10" s="1"/>
  <c r="I36" i="10" s="1"/>
  <c r="C47" i="10" s="1"/>
  <c r="D47" i="10" s="1"/>
  <c r="E47" i="10" s="1"/>
  <c r="F47" i="10" s="1"/>
  <c r="G47" i="10" s="1"/>
  <c r="H47" i="10" s="1"/>
  <c r="I47" i="10" s="1"/>
  <c r="C59" i="10" s="1"/>
  <c r="D59" i="10" s="1"/>
  <c r="E59" i="10" s="1"/>
  <c r="F59" i="10" s="1"/>
  <c r="G59" i="10" s="1"/>
  <c r="C13" i="9"/>
  <c r="D13" i="9" s="1"/>
  <c r="E13" i="9" s="1"/>
  <c r="F13" i="9" s="1"/>
  <c r="G13" i="9" s="1"/>
  <c r="H13" i="9" s="1"/>
  <c r="I13" i="9" s="1"/>
  <c r="C15" i="9" s="1"/>
  <c r="D15" i="9" s="1"/>
  <c r="E15" i="9" s="1"/>
  <c r="F15" i="9" s="1"/>
  <c r="G15" i="9" s="1"/>
  <c r="H15" i="9" s="1"/>
  <c r="I15" i="9" s="1"/>
  <c r="C17" i="9" s="1"/>
  <c r="D17" i="9" s="1"/>
  <c r="E17" i="9" s="1"/>
  <c r="F17" i="9" s="1"/>
  <c r="G17" i="9" s="1"/>
  <c r="H17" i="9" s="1"/>
  <c r="I17" i="9" s="1"/>
  <c r="C19" i="9" s="1"/>
  <c r="D19" i="9" s="1"/>
  <c r="E19" i="9" s="1"/>
  <c r="F19" i="9" s="1"/>
  <c r="G19" i="9" s="1"/>
  <c r="H19" i="9" s="1"/>
  <c r="I19" i="9" s="1"/>
  <c r="C21" i="9" s="1"/>
  <c r="D21" i="9" s="1"/>
  <c r="AC9" i="8"/>
  <c r="AD9" i="8" s="1"/>
  <c r="X21" i="8" s="1"/>
  <c r="Y21" i="8" s="1"/>
  <c r="Z21" i="8" s="1"/>
  <c r="AA21" i="8" s="1"/>
  <c r="AB21" i="8" s="1"/>
  <c r="AC21" i="8" s="1"/>
  <c r="AD21" i="8" s="1"/>
  <c r="X33" i="8" s="1"/>
  <c r="Y33" i="8" s="1"/>
  <c r="Z33" i="8" s="1"/>
  <c r="AA33" i="8" s="1"/>
  <c r="AB33" i="8" s="1"/>
  <c r="AC33" i="8" s="1"/>
  <c r="AD33" i="8" s="1"/>
  <c r="X45" i="8" s="1"/>
  <c r="Y45" i="8" s="1"/>
  <c r="Z45" i="8" s="1"/>
  <c r="AA45" i="8" s="1"/>
  <c r="AB45" i="8" s="1"/>
  <c r="AC45" i="8" s="1"/>
  <c r="AD45" i="8" s="1"/>
  <c r="X57" i="8" s="1"/>
  <c r="Y57" i="8" s="1"/>
  <c r="Z57" i="8" s="1"/>
  <c r="AA57" i="8" s="1"/>
  <c r="AB57" i="8" s="1"/>
  <c r="AC57" i="8" s="1"/>
  <c r="AD57" i="8" s="1"/>
  <c r="X69" i="8" s="1"/>
  <c r="Q9" i="8"/>
  <c r="R9" i="8" s="1"/>
  <c r="S9" i="8" s="1"/>
  <c r="T9" i="8" s="1"/>
  <c r="U9" i="8" s="1"/>
  <c r="O21" i="8" s="1"/>
  <c r="P21" i="8" s="1"/>
  <c r="Q21" i="8" s="1"/>
  <c r="R21" i="8" s="1"/>
  <c r="S21" i="8" s="1"/>
  <c r="T21" i="8" s="1"/>
  <c r="U21" i="8" s="1"/>
  <c r="O33" i="8" s="1"/>
  <c r="P33" i="8" s="1"/>
  <c r="Q33" i="8" s="1"/>
  <c r="R33" i="8" s="1"/>
  <c r="S33" i="8" s="1"/>
  <c r="T33" i="8" s="1"/>
  <c r="U33" i="8" s="1"/>
  <c r="O45" i="8" s="1"/>
  <c r="P45" i="8" s="1"/>
  <c r="Q45" i="8" s="1"/>
  <c r="R45" i="8" s="1"/>
  <c r="S45" i="8" s="1"/>
  <c r="T45" i="8" s="1"/>
  <c r="U45" i="8" s="1"/>
  <c r="O57" i="8" s="1"/>
  <c r="P57" i="8" s="1"/>
  <c r="Q57" i="8" s="1"/>
  <c r="R57" i="8" s="1"/>
  <c r="S57" i="8" s="1"/>
  <c r="G9" i="8"/>
  <c r="H9" i="8" s="1"/>
  <c r="I9" i="8" s="1"/>
  <c r="J9" i="8" s="1"/>
  <c r="K9" i="8" s="1"/>
  <c r="L9" i="8" s="1"/>
  <c r="F21" i="8" s="1"/>
  <c r="G21" i="8" s="1"/>
  <c r="H21" i="8" s="1"/>
  <c r="I21" i="8" s="1"/>
  <c r="J21" i="8" s="1"/>
  <c r="K21" i="8" s="1"/>
  <c r="L21" i="8" s="1"/>
  <c r="F33" i="8" s="1"/>
  <c r="G33" i="8" s="1"/>
  <c r="H33" i="8" s="1"/>
  <c r="I33" i="8" s="1"/>
  <c r="J33" i="8" s="1"/>
  <c r="K33" i="8" s="1"/>
  <c r="L33" i="8" s="1"/>
  <c r="F45" i="8" s="1"/>
  <c r="G45" i="8" s="1"/>
  <c r="H45" i="8" s="1"/>
  <c r="I45" i="8" s="1"/>
  <c r="J45" i="8" s="1"/>
  <c r="K45" i="8" s="1"/>
  <c r="L45" i="8" s="1"/>
  <c r="F57" i="8" s="1"/>
  <c r="G57" i="8" s="1"/>
  <c r="AC9" i="6"/>
  <c r="AD9" i="6" s="1"/>
  <c r="X21" i="6" s="1"/>
  <c r="Y21" i="6" s="1"/>
  <c r="Z21" i="6" s="1"/>
  <c r="AA21" i="6" s="1"/>
  <c r="AB21" i="6" s="1"/>
  <c r="AC21" i="6" s="1"/>
  <c r="AD21" i="6" s="1"/>
  <c r="X33" i="6" s="1"/>
  <c r="Y33" i="6" s="1"/>
  <c r="Z33" i="6" s="1"/>
  <c r="AA33" i="6" s="1"/>
  <c r="AB33" i="6" s="1"/>
  <c r="AC33" i="6" s="1"/>
  <c r="AD33" i="6" s="1"/>
  <c r="X45" i="6" s="1"/>
  <c r="Y45" i="6" s="1"/>
  <c r="Z45" i="6" s="1"/>
  <c r="AA45" i="6" s="1"/>
  <c r="AB45" i="6" s="1"/>
  <c r="AC45" i="6" s="1"/>
  <c r="AD45" i="6" s="1"/>
  <c r="X57" i="6" s="1"/>
  <c r="Y57" i="6" s="1"/>
  <c r="Z57" i="6" s="1"/>
  <c r="AA57" i="6" s="1"/>
  <c r="AB57" i="6" s="1"/>
  <c r="AC57" i="6" s="1"/>
  <c r="AD57" i="6" s="1"/>
  <c r="X69" i="6" s="1"/>
  <c r="Q9" i="6"/>
  <c r="R9" i="6" s="1"/>
  <c r="S9" i="6" s="1"/>
  <c r="T9" i="6" s="1"/>
  <c r="U9" i="6" s="1"/>
  <c r="O21" i="6" s="1"/>
  <c r="P21" i="6" s="1"/>
  <c r="Q21" i="6" s="1"/>
  <c r="R21" i="6" s="1"/>
  <c r="S21" i="6" s="1"/>
  <c r="T21" i="6" s="1"/>
  <c r="U21" i="6" s="1"/>
  <c r="O33" i="6" s="1"/>
  <c r="P33" i="6" s="1"/>
  <c r="Q33" i="6" s="1"/>
  <c r="R33" i="6" s="1"/>
  <c r="S33" i="6" s="1"/>
  <c r="T33" i="6" s="1"/>
  <c r="U33" i="6" s="1"/>
  <c r="O45" i="6" s="1"/>
  <c r="P45" i="6" s="1"/>
  <c r="Q45" i="6" s="1"/>
  <c r="R45" i="6" s="1"/>
  <c r="S45" i="6" s="1"/>
  <c r="T45" i="6" s="1"/>
  <c r="U45" i="6" s="1"/>
  <c r="O57" i="6" s="1"/>
  <c r="P57" i="6" s="1"/>
  <c r="Q57" i="6" s="1"/>
  <c r="R57" i="6" s="1"/>
  <c r="S57" i="6" s="1"/>
  <c r="G9" i="6"/>
  <c r="H9" i="6" s="1"/>
  <c r="I9" i="6" s="1"/>
  <c r="J9" i="6" s="1"/>
  <c r="K9" i="6" s="1"/>
  <c r="L9" i="6" s="1"/>
  <c r="F21" i="6" s="1"/>
  <c r="G21" i="6" s="1"/>
  <c r="H21" i="6" s="1"/>
  <c r="I21" i="6" s="1"/>
  <c r="J21" i="6" s="1"/>
  <c r="K21" i="6" s="1"/>
  <c r="L21" i="6" s="1"/>
  <c r="F33" i="6" s="1"/>
  <c r="G33" i="6" s="1"/>
  <c r="H33" i="6" s="1"/>
  <c r="I33" i="6" s="1"/>
  <c r="J33" i="6" s="1"/>
  <c r="K33" i="6" s="1"/>
  <c r="L33" i="6" s="1"/>
  <c r="F45" i="6" s="1"/>
  <c r="G45" i="6" s="1"/>
  <c r="H45" i="6" s="1"/>
  <c r="I45" i="6" s="1"/>
  <c r="J45" i="6" s="1"/>
  <c r="K45" i="6" s="1"/>
  <c r="L45" i="6" s="1"/>
  <c r="F57" i="6" s="1"/>
  <c r="G57" i="6" s="1"/>
  <c r="V29" i="3"/>
  <c r="V28" i="3"/>
  <c r="V27" i="3"/>
  <c r="V26" i="3"/>
  <c r="V25" i="3"/>
  <c r="V24" i="3"/>
  <c r="V23" i="3"/>
  <c r="V22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V1" i="3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AF176" i="2"/>
  <c r="H176" i="2"/>
  <c r="AF175" i="2"/>
  <c r="H175" i="2"/>
  <c r="AF174" i="2"/>
  <c r="AF177" i="2" s="1"/>
  <c r="AF178" i="2" s="1"/>
  <c r="AF179" i="2" s="1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3" i="2"/>
  <c r="H12" i="2"/>
  <c r="H11" i="2"/>
  <c r="H10" i="2"/>
  <c r="H9" i="2"/>
  <c r="H8" i="2"/>
  <c r="H7" i="2"/>
  <c r="H6" i="2"/>
  <c r="H5" i="2"/>
  <c r="H4" i="2"/>
  <c r="H3" i="2"/>
  <c r="H2" i="2"/>
  <c r="AG1" i="2"/>
  <c r="T46" i="1"/>
  <c r="T45" i="1"/>
  <c r="T44" i="1"/>
  <c r="T43" i="1"/>
  <c r="T42" i="1"/>
  <c r="T41" i="1"/>
  <c r="T1" i="1"/>
  <c r="G8" i="14" l="1"/>
  <c r="F8" i="14"/>
  <c r="G11" i="14"/>
  <c r="F11" i="14"/>
  <c r="G7" i="14"/>
  <c r="F7" i="14"/>
  <c r="G10" i="14"/>
  <c r="F10" i="14"/>
  <c r="G6" i="14"/>
  <c r="F6" i="14"/>
  <c r="F9" i="14"/>
  <c r="G9" i="14"/>
  <c r="G5" i="14"/>
  <c r="F5" i="14"/>
  <c r="G14" i="14"/>
  <c r="F3" i="14"/>
  <c r="D18" i="14"/>
  <c r="D10" i="14"/>
  <c r="D15" i="14"/>
  <c r="E18" i="14"/>
  <c r="D7" i="14"/>
  <c r="E15" i="14"/>
  <c r="F18" i="14"/>
  <c r="D11" i="14"/>
  <c r="D16" i="14"/>
  <c r="D21" i="14"/>
  <c r="D8" i="14"/>
  <c r="E16" i="14"/>
  <c r="E21" i="14"/>
  <c r="D5" i="14"/>
  <c r="F16" i="14"/>
  <c r="F21" i="14"/>
  <c r="D17" i="14"/>
  <c r="D22" i="14"/>
  <c r="D9" i="14"/>
  <c r="D14" i="14"/>
  <c r="E17" i="14"/>
  <c r="E22" i="14"/>
  <c r="D6" i="14"/>
  <c r="E14" i="14"/>
  <c r="F17" i="14"/>
  <c r="F2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13" authorId="0" shapeId="0" xr:uid="{00000000-0006-0000-0000-000006000000}">
      <text>
        <r>
          <rPr>
            <sz val="11"/>
            <color theme="1"/>
            <rFont val="Aptos Narrow"/>
            <scheme val="minor"/>
          </rPr>
          <t>======
ID#AAAB4-IxjEQ
Academic Service    (2026-04-27 03:46:45)
Belum dipecah 39A &amp; B</t>
        </r>
      </text>
    </comment>
    <comment ref="L25" authorId="0" shapeId="0" xr:uid="{00000000-0006-0000-0000-000005000000}">
      <text>
        <r>
          <rPr>
            <sz val="11"/>
            <color theme="1"/>
            <rFont val="Aptos Narrow"/>
            <scheme val="minor"/>
          </rPr>
          <t>======
ID#AAAB4-IxjEU
Academic Service    (2026-04-27 03:46:49)
Belum dipecah 39A &amp; B</t>
        </r>
      </text>
    </comment>
    <comment ref="L26" authorId="0" shapeId="0" xr:uid="{00000000-0006-0000-0000-000004000000}">
      <text>
        <r>
          <rPr>
            <sz val="11"/>
            <color theme="1"/>
            <rFont val="Aptos Narrow"/>
            <scheme val="minor"/>
          </rPr>
          <t>======
ID#AAAB4-IxjEY
Academic Service    (2026-04-27 03:46:55)
Belum dipecah 39A &amp; B</t>
        </r>
      </text>
    </comment>
    <comment ref="L27" authorId="0" shapeId="0" xr:uid="{00000000-0006-0000-0000-000003000000}">
      <text>
        <r>
          <rPr>
            <sz val="11"/>
            <color theme="1"/>
            <rFont val="Aptos Narrow"/>
            <scheme val="minor"/>
          </rPr>
          <t>======
ID#AAAB4-IxjEc
Academic Service    (2026-04-27 03:47:24)
Belum ada di SPACE</t>
        </r>
      </text>
    </comment>
    <comment ref="L28" authorId="0" shapeId="0" xr:uid="{00000000-0006-0000-0000-000002000000}">
      <text>
        <r>
          <rPr>
            <sz val="11"/>
            <color theme="1"/>
            <rFont val="Aptos Narrow"/>
            <scheme val="minor"/>
          </rPr>
          <t>======
ID#AAAB4-IxjEg
Academic Service    (2026-04-27 03:47:24)
Belum ada di SPACE</t>
        </r>
      </text>
    </comment>
    <comment ref="L35" authorId="0" shapeId="0" xr:uid="{00000000-0006-0000-0000-000001000000}">
      <text>
        <r>
          <rPr>
            <sz val="11"/>
            <color theme="1"/>
            <rFont val="Aptos Narrow"/>
            <scheme val="minor"/>
          </rPr>
          <t>======
ID#AAAB4-IxjEk
Academic Service    (2026-04-27 03:49:18)
Belum ada di SPACE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LA1qn7x4LPReELHHs6huP7O2CS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4" authorId="0" shapeId="0" xr:uid="{00000000-0006-0000-0100-000008000000}">
      <text>
        <r>
          <rPr>
            <sz val="11"/>
            <color theme="1"/>
            <rFont val="Aptos Narrow"/>
            <scheme val="minor"/>
          </rPr>
          <t>======
ID#AAAB4DYHX6Q
Raden Avidzar Malick (Avidzar/Abizar)    (2026-04-27 08:33:48)
Belum ada di SPACE</t>
        </r>
      </text>
    </comment>
    <comment ref="O7" authorId="0" shapeId="0" xr:uid="{00000000-0006-0000-0100-000007000000}">
      <text>
        <r>
          <rPr>
            <sz val="11"/>
            <color theme="1"/>
            <rFont val="Aptos Narrow"/>
            <scheme val="minor"/>
          </rPr>
          <t>======
ID#AAAB4DYHX6U
Raden Avidzar Malick (Avidzar/Abizar)    (2026-04-27 08:34:09)
Belum ada di SPACE</t>
        </r>
      </text>
    </comment>
    <comment ref="O8" authorId="0" shapeId="0" xr:uid="{00000000-0006-0000-0100-000006000000}">
      <text>
        <r>
          <rPr>
            <sz val="11"/>
            <color theme="1"/>
            <rFont val="Aptos Narrow"/>
            <scheme val="minor"/>
          </rPr>
          <t>======
ID#AAAB4DYHX6Y
Raden Avidzar Malick (Avidzar/Abizar)    (2026-04-27 08:34:35)
Belum ada di SPACE</t>
        </r>
      </text>
    </comment>
    <comment ref="O20" authorId="0" shapeId="0" xr:uid="{00000000-0006-0000-0100-000005000000}">
      <text>
        <r>
          <rPr>
            <sz val="11"/>
            <color theme="1"/>
            <rFont val="Aptos Narrow"/>
            <scheme val="minor"/>
          </rPr>
          <t>======
ID#AAAB4DYHX6c
Raden Avidzar Malick (Avidzar/Abizar)    (2026-04-27 08:35:01)
Belum ada di SPACE</t>
        </r>
      </text>
    </comment>
    <comment ref="O30" authorId="0" shapeId="0" xr:uid="{00000000-0006-0000-0100-000004000000}">
      <text>
        <r>
          <rPr>
            <sz val="11"/>
            <color theme="1"/>
            <rFont val="Aptos Narrow"/>
            <scheme val="minor"/>
          </rPr>
          <t>======
ID#AAAB4DYHX6g
Raden Avidzar Malick (Avidzar/Abizar)    (2026-04-27 08:36:11)
Belum ada di SPACE</t>
        </r>
      </text>
    </comment>
    <comment ref="O34" authorId="0" shapeId="0" xr:uid="{00000000-0006-0000-0100-000003000000}">
      <text>
        <r>
          <rPr>
            <sz val="11"/>
            <color theme="1"/>
            <rFont val="Aptos Narrow"/>
            <scheme val="minor"/>
          </rPr>
          <t>======
ID#AAAB4DYHX6k
Raden Avidzar Malick (Avidzar/Abizar)    (2026-04-27 08:36:43)
Belum ada di SPACE</t>
        </r>
      </text>
    </comment>
    <comment ref="O45" authorId="0" shapeId="0" xr:uid="{00000000-0006-0000-0100-000002000000}">
      <text>
        <r>
          <rPr>
            <sz val="11"/>
            <color theme="1"/>
            <rFont val="Aptos Narrow"/>
            <scheme val="minor"/>
          </rPr>
          <t>======
ID#AAAB4DYHX6w
Raden Avidzar Malick (Avidzar/Abizar)    (2026-04-27 08:37:06)
Belum ada di SPACE</t>
        </r>
      </text>
    </comment>
    <comment ref="O46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ID#AAAB4DYHX64
Raden Avidzar Malick (Avidzar/Abizar)    (2026-04-27 08:37:22)
Belum ada di SPACE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RrpJZQEQtunMEnUhOoWMkflmtQ=="/>
    </ext>
  </extLst>
</comments>
</file>

<file path=xl/sharedStrings.xml><?xml version="1.0" encoding="utf-8"?>
<sst xmlns="http://schemas.openxmlformats.org/spreadsheetml/2006/main" count="4831" uniqueCount="679">
  <si>
    <t>No.</t>
  </si>
  <si>
    <t>Prodi</t>
  </si>
  <si>
    <t>Kode</t>
  </si>
  <si>
    <t>Nama</t>
  </si>
  <si>
    <t>KK</t>
  </si>
  <si>
    <t>Kelas</t>
  </si>
  <si>
    <t>Urutan</t>
  </si>
  <si>
    <t>Ruangan</t>
  </si>
  <si>
    <t>Hari</t>
  </si>
  <si>
    <t>Jam</t>
  </si>
  <si>
    <t>Team Teaching</t>
  </si>
  <si>
    <t>11 Sesi</t>
  </si>
  <si>
    <t>10 Sesi</t>
  </si>
  <si>
    <t>MID EXAM</t>
  </si>
  <si>
    <t>FINAL EXAM</t>
  </si>
  <si>
    <t>MBAJ</t>
  </si>
  <si>
    <t>MM5005</t>
  </si>
  <si>
    <t>Economic and Business Landscape Analysis</t>
  </si>
  <si>
    <t>BRF</t>
  </si>
  <si>
    <t>BLEMBA 39A</t>
  </si>
  <si>
    <t>Medco</t>
  </si>
  <si>
    <t>Sabtu-Minggu</t>
  </si>
  <si>
    <t>08.00 - 18.40, 08.00 - 17.50</t>
  </si>
  <si>
    <t>Deddy Priatmodjo Koesrindartoto (1.5)</t>
  </si>
  <si>
    <t>Dzikri Firmansyah Hakam (1.5)</t>
  </si>
  <si>
    <t>BLEMBA 39B</t>
  </si>
  <si>
    <t>ENEMBA 11</t>
  </si>
  <si>
    <t>Kirana Megatara 1</t>
  </si>
  <si>
    <t>SMEMBA 10</t>
  </si>
  <si>
    <t>MarkPlus Amphitheatre</t>
  </si>
  <si>
    <t>Ana Noveria (1.5) Mulya Amri (1.5)</t>
  </si>
  <si>
    <t>STEMBA 5</t>
  </si>
  <si>
    <t>Kirana Megatara 2</t>
  </si>
  <si>
    <t xml:space="preserve"> Yudo Anggoro (0.75) </t>
  </si>
  <si>
    <t>Retno Gumilang Dewi (0.75)</t>
  </si>
  <si>
    <t>MM5007</t>
  </si>
  <si>
    <t>Financial Management and Policy</t>
  </si>
  <si>
    <t>Oktofa Yudha Sudrajad (1.5)</t>
  </si>
  <si>
    <t>Raden Aswin Rahadi (1.5)</t>
  </si>
  <si>
    <t>Erman Sumirat (1.5)</t>
  </si>
  <si>
    <t>Raden Aswin Rahadi (2)</t>
  </si>
  <si>
    <t>Socrates Rudy Sirait (1)</t>
  </si>
  <si>
    <t>Subiakto Soekarno (1.5)</t>
  </si>
  <si>
    <t>MM5010</t>
  </si>
  <si>
    <t>Strategic Management and Agile Enterprise</t>
  </si>
  <si>
    <t>BSM</t>
  </si>
  <si>
    <t>BLEMBA 38</t>
  </si>
  <si>
    <t>R. Henk Uno</t>
  </si>
  <si>
    <t>Atik Aprianingsih (3)</t>
  </si>
  <si>
    <t>MM5011</t>
  </si>
  <si>
    <t>Management of Innovation, Technology and Entrepreneurship</t>
  </si>
  <si>
    <t>ETM</t>
  </si>
  <si>
    <t xml:space="preserve">Leo Aldianto (1.5) </t>
  </si>
  <si>
    <t>Eko Agus Prasetio (1.5)</t>
  </si>
  <si>
    <t>MMXXXX</t>
  </si>
  <si>
    <t>Elective Course Based on Stream</t>
  </si>
  <si>
    <t>pemenuhan SKS menjadi 9 SKS</t>
  </si>
  <si>
    <t xml:space="preserve">Oktofa Yudha Sudrajad (1.5) </t>
  </si>
  <si>
    <t>MBAB</t>
  </si>
  <si>
    <t>BLEMBA74</t>
  </si>
  <si>
    <t>Amphitheater 2</t>
  </si>
  <si>
    <t xml:space="preserve">Ana Noveria (1.5) </t>
  </si>
  <si>
    <t>Jagat Prirayani (1.5)</t>
  </si>
  <si>
    <t>Yunieta Anny Nainggolan (1.5)</t>
  </si>
  <si>
    <t>BLEMBA 73AB</t>
  </si>
  <si>
    <t>1B</t>
  </si>
  <si>
    <t>Amphitheater 1</t>
  </si>
  <si>
    <t>Sabtu</t>
  </si>
  <si>
    <t>Harimukti Wandebori (3)</t>
  </si>
  <si>
    <t>2B</t>
  </si>
  <si>
    <t>Minggu</t>
  </si>
  <si>
    <t xml:space="preserve">Wawan Dhewanto (1.5) </t>
  </si>
  <si>
    <t>Sonny Rustiadi (1.5)</t>
  </si>
  <si>
    <t>Mata Kuliah</t>
  </si>
  <si>
    <t>Ruang</t>
  </si>
  <si>
    <t>Status Sesi</t>
  </si>
  <si>
    <t>SKS</t>
  </si>
  <si>
    <t>Sesi</t>
  </si>
  <si>
    <t>1+MID EXAM</t>
  </si>
  <si>
    <t>1+FINAL EXAM</t>
  </si>
  <si>
    <t>MM5008</t>
  </si>
  <si>
    <t>Strategic Decision Making and Negotiation</t>
  </si>
  <si>
    <t>ENTREE 29</t>
  </si>
  <si>
    <t>DMSN</t>
  </si>
  <si>
    <t>Senin</t>
  </si>
  <si>
    <t>Full Day</t>
  </si>
  <si>
    <t>08.30 - 16.35</t>
  </si>
  <si>
    <t xml:space="preserve">Utomo Sarjono Putro (1.5) </t>
  </si>
  <si>
    <t>Meditya Wasesa (1.5)</t>
  </si>
  <si>
    <t>Selasa</t>
  </si>
  <si>
    <t>MM5001</t>
  </si>
  <si>
    <t>Marketing Management</t>
  </si>
  <si>
    <t>ENTREE 30</t>
  </si>
  <si>
    <t xml:space="preserve">Mustika Sufiati (1.5) </t>
  </si>
  <si>
    <t>Prawira Fajarindra Belgiawan (1.5)</t>
  </si>
  <si>
    <t>MM5006</t>
  </si>
  <si>
    <t xml:space="preserve">Entrepreneurial Economics </t>
  </si>
  <si>
    <t>Rabu</t>
  </si>
  <si>
    <t>GM 21</t>
  </si>
  <si>
    <t xml:space="preserve">Ira Fachira (0.5) </t>
  </si>
  <si>
    <t xml:space="preserve">Ilma Aulia Zaim (0.5) </t>
  </si>
  <si>
    <t>G.N. Sandhy Widyasthana (2)</t>
  </si>
  <si>
    <t>Isti Raafaldini Mirzanti (1.5)</t>
  </si>
  <si>
    <t>Dina Dellyana (1.5)</t>
  </si>
  <si>
    <t>GM 22</t>
  </si>
  <si>
    <t>Ana Noveria (1.5)</t>
  </si>
  <si>
    <t>Mulya Amri (1.5)</t>
  </si>
  <si>
    <t>ENTRE73AB</t>
  </si>
  <si>
    <t>Senin, Rabu (Pagi)</t>
  </si>
  <si>
    <t>Pagi</t>
  </si>
  <si>
    <t>08.00 - 11.20</t>
  </si>
  <si>
    <t>Santi Novani (1.5)</t>
  </si>
  <si>
    <t>Pri Hermawan (1.5)</t>
  </si>
  <si>
    <t>YP74A</t>
  </si>
  <si>
    <t>Kelas B</t>
  </si>
  <si>
    <t>Selasa, Kamis (Pagi)</t>
  </si>
  <si>
    <t>08.00 - 11.20 (4 sesi)</t>
  </si>
  <si>
    <t>Yunieta Anny Nainggolan (3)</t>
  </si>
  <si>
    <t>YP74B</t>
  </si>
  <si>
    <t>Kelas C</t>
  </si>
  <si>
    <t>Sylviana Maya Damayanti (3)</t>
  </si>
  <si>
    <t>ENTRE74</t>
  </si>
  <si>
    <t>Kelas D</t>
  </si>
  <si>
    <t>Ira Fachira (1.5)</t>
  </si>
  <si>
    <t>Nita Garnida (1.5)</t>
  </si>
  <si>
    <t>YP73A</t>
  </si>
  <si>
    <t>Seminar 1</t>
  </si>
  <si>
    <t>Novika Candra Astuti (3)</t>
  </si>
  <si>
    <t>YP73B</t>
  </si>
  <si>
    <t>Seminar 2</t>
  </si>
  <si>
    <t>Entrepreneurial Economics</t>
  </si>
  <si>
    <t>Deddy Priatmodjo Koesrindartoto (3)</t>
  </si>
  <si>
    <t>Senin, Rabu (siang)</t>
  </si>
  <si>
    <t>Siang</t>
  </si>
  <si>
    <t>13.00 - 16.20</t>
  </si>
  <si>
    <t>Wawan Dhewanto (1.5)</t>
  </si>
  <si>
    <t>Melia Famiola (1.5)</t>
  </si>
  <si>
    <t>Selasa, Kamis (Siang)</t>
  </si>
  <si>
    <t>13.00 - 16.20 (4 sesi)</t>
  </si>
  <si>
    <t>MM6097/ 
MM6098</t>
  </si>
  <si>
    <t>Project Thesis /
Research Thesis</t>
  </si>
  <si>
    <t>YP-Entree-BLEMBA</t>
  </si>
  <si>
    <t>MM6099</t>
  </si>
  <si>
    <t>Final Defense</t>
  </si>
  <si>
    <t>Project Thesis /
Research Thesis ()</t>
  </si>
  <si>
    <t>SM</t>
  </si>
  <si>
    <t>MB2001</t>
  </si>
  <si>
    <t>Financial Accounting</t>
  </si>
  <si>
    <t>FA 2028 Inter 1</t>
  </si>
  <si>
    <t>Room 2201 A</t>
  </si>
  <si>
    <t>Senin dan Rabu</t>
  </si>
  <si>
    <t>Pagi dan Siang</t>
  </si>
  <si>
    <t>08.00 - 11.20 dan 13.00 - 16.20</t>
  </si>
  <si>
    <t>Asep Darmansyah (2.5)</t>
  </si>
  <si>
    <t>Ria Anugriani (1.5)</t>
  </si>
  <si>
    <t>FA 2028 Inter 2</t>
  </si>
  <si>
    <t>Room 2201 B</t>
  </si>
  <si>
    <t>Acip Sutardi (2)</t>
  </si>
  <si>
    <t>Inugrah Ratia Pratiwi (2)</t>
  </si>
  <si>
    <t>FA 2028 Inter 3</t>
  </si>
  <si>
    <t>Room 2302</t>
  </si>
  <si>
    <t>Tuntun Salamatun Zen (0.5)</t>
  </si>
  <si>
    <t>Gerrie Rianto (3.5)</t>
  </si>
  <si>
    <t>FA 2028 Inter 4</t>
  </si>
  <si>
    <t>Room 2303</t>
  </si>
  <si>
    <t>Tuntun Salamatun Zen (2)</t>
  </si>
  <si>
    <t>FA 2028 Inter 5</t>
  </si>
  <si>
    <t>Room 2404</t>
  </si>
  <si>
    <t>Tuntun Salamatun Zen (1.5)</t>
  </si>
  <si>
    <t>Ria Anugriani (2.5)</t>
  </si>
  <si>
    <t>FA 2028 Reguler A</t>
  </si>
  <si>
    <t>Tutorial 2A</t>
  </si>
  <si>
    <t>Siang dan Pagi</t>
  </si>
  <si>
    <t>13.00-16.20 dan 08.00- 11.20</t>
  </si>
  <si>
    <t xml:space="preserve">Acip Sutardi (2) </t>
  </si>
  <si>
    <t>Gerrie Rianto (2)</t>
  </si>
  <si>
    <t>FA 2028 Reguler B</t>
  </si>
  <si>
    <t>Tutorial 2B</t>
  </si>
  <si>
    <t xml:space="preserve">Tuntun Salamatun Zen (2) </t>
  </si>
  <si>
    <t>FA 2028 Reguler C</t>
  </si>
  <si>
    <t>Tutorial 2C</t>
  </si>
  <si>
    <t xml:space="preserve">Tuntun Salamatun Zen (0.5) </t>
  </si>
  <si>
    <t>Ria Anugriani (3.5)</t>
  </si>
  <si>
    <t>MB2002</t>
  </si>
  <si>
    <t>Psychology and Organizational Behavior</t>
  </si>
  <si>
    <t>POB 2028 Inter 1</t>
  </si>
  <si>
    <t>PKM</t>
  </si>
  <si>
    <t>08.00 - 10.30 dan 13.00 - 15.30</t>
  </si>
  <si>
    <t>Donald Crestofel Lantu (0,5)</t>
  </si>
  <si>
    <t>Henndy Ginting (0,5)</t>
  </si>
  <si>
    <t>Madju Yuni Ros Bangun (0,5)</t>
  </si>
  <si>
    <t>Veronica Afridita Khristiningrum (1,5)</t>
  </si>
  <si>
    <t>POB 2028 Inter 2</t>
  </si>
  <si>
    <t>Adita Pritasari (1,5)</t>
  </si>
  <si>
    <t>POB 2028 Inter 3</t>
  </si>
  <si>
    <t>Muhammad Juliansyah Putra (1,5)</t>
  </si>
  <si>
    <t>POB 2028 Inter 4</t>
  </si>
  <si>
    <t>Nurfaisa Hidayanti (1,5)</t>
  </si>
  <si>
    <t>POB 2028 Inter 5</t>
  </si>
  <si>
    <t>Donald Crestofel Lantu</t>
  </si>
  <si>
    <t>Madju Yuni Ros Bangun</t>
  </si>
  <si>
    <t>Cahyaningtyas Nova Puspitadewi</t>
  </si>
  <si>
    <t>Henndy Ginting</t>
  </si>
  <si>
    <t>POB 2028 Reguler A</t>
  </si>
  <si>
    <t>Abel Tedjamulja (1,5)</t>
  </si>
  <si>
    <t>POB 2028 Reguler B</t>
  </si>
  <si>
    <t>Lisandy Arinta Suryana (1,5)</t>
  </si>
  <si>
    <t>POB 2028 Reguler C</t>
  </si>
  <si>
    <t>Mila Jamilah Khatun Badriyah (1,5)</t>
  </si>
  <si>
    <t>MB2003</t>
  </si>
  <si>
    <t>Business Communication</t>
  </si>
  <si>
    <t>BisCom 2028 Inter 1</t>
  </si>
  <si>
    <t>Selasa dan Kamis</t>
  </si>
  <si>
    <t>13.00 -14.40 dan 08.00-09.40</t>
  </si>
  <si>
    <t>Neneng Nurlaela Arief (0,5)</t>
  </si>
  <si>
    <t>BisCom 2028 Inter 2</t>
  </si>
  <si>
    <t>Henndy Ginting (1,5)</t>
  </si>
  <si>
    <t>BisCom 2028 Inter 3</t>
  </si>
  <si>
    <t>Veronica Afridita Khristiningrum</t>
  </si>
  <si>
    <t>Neneng Nurlaela Arief</t>
  </si>
  <si>
    <t>BisCom 2028 Inter 4</t>
  </si>
  <si>
    <t>Dany Muhammad Athory Ramdlany (1,5)</t>
  </si>
  <si>
    <t>BisCom 2028 Inter 5</t>
  </si>
  <si>
    <t>BisCom 2028 Reguler A</t>
  </si>
  <si>
    <t>08.00-09.40 dan 13.00 -14.40</t>
  </si>
  <si>
    <t>Andika Putra Pratama (1,5)</t>
  </si>
  <si>
    <t>BisCom 2028 Reguler B</t>
  </si>
  <si>
    <t>Ezra Hizkia Nathanael (1,5)</t>
  </si>
  <si>
    <t>BisCom 2028 Reguler C</t>
  </si>
  <si>
    <t>Muhammad Yorga Permana (1,5)</t>
  </si>
  <si>
    <t>MB3001</t>
  </si>
  <si>
    <t>Community Project</t>
  </si>
  <si>
    <t>Compro 2027 Reguler A</t>
  </si>
  <si>
    <t>Tutorial 3A</t>
  </si>
  <si>
    <t xml:space="preserve">Siang </t>
  </si>
  <si>
    <t xml:space="preserve">13.00-15.30 </t>
  </si>
  <si>
    <t>Anggara Wisesa (0,5)</t>
  </si>
  <si>
    <t>Bambang Rudito (0,5)</t>
  </si>
  <si>
    <t>Bayuningrat  (2)</t>
  </si>
  <si>
    <t>Compro 2027 Reguler B</t>
  </si>
  <si>
    <t>Tutorial 3B</t>
  </si>
  <si>
    <t>Wipti Eka Prahadipta (2)</t>
  </si>
  <si>
    <t>Compro 2027 Reguler C</t>
  </si>
  <si>
    <t>Tutorial 3C</t>
  </si>
  <si>
    <t>Teddy Yuliandy (2)</t>
  </si>
  <si>
    <t>Compro 2027 Reguler D</t>
  </si>
  <si>
    <t>Tutorial 3D</t>
  </si>
  <si>
    <t>MB3002</t>
  </si>
  <si>
    <t>International Trade and Finance</t>
  </si>
  <si>
    <t>ITF  2027 Inter 1</t>
  </si>
  <si>
    <t xml:space="preserve"> 08.00-10.30</t>
  </si>
  <si>
    <t>Kurnia Fajar Afgani (1,5)</t>
  </si>
  <si>
    <t>Atika Irawan  (1,5)</t>
  </si>
  <si>
    <t>ITF  2027 Inter 2</t>
  </si>
  <si>
    <t>Eneng Nur Hasanah  (1,5)</t>
  </si>
  <si>
    <t>Aminah  (1,5)</t>
  </si>
  <si>
    <t>ITF  2027 Inter 3</t>
  </si>
  <si>
    <t>Taufik Faturohman  (1,5)</t>
  </si>
  <si>
    <t>Kurnia Fajar Afgani  (1,5)</t>
  </si>
  <si>
    <t>ITF  2027 Inter 4</t>
  </si>
  <si>
    <t>MB3003</t>
  </si>
  <si>
    <t>Business Sustainability Management &amp; Agile Organisation</t>
  </si>
  <si>
    <t>BSMAO 2027 Inter 1</t>
  </si>
  <si>
    <t>13.00-15.30</t>
  </si>
  <si>
    <t>Nila Armelia Windasari (1,5)</t>
  </si>
  <si>
    <t>Bernadetta Nadya Amarani S (1,5)</t>
  </si>
  <si>
    <t>BSMAO 2027 Inter 2</t>
  </si>
  <si>
    <t>Prawira Fajarindra Belgiawan (1)</t>
  </si>
  <si>
    <t>Siti Mardiana (2)</t>
  </si>
  <si>
    <t>BSMAO 2027 Inter 3</t>
  </si>
  <si>
    <t>Anak Agung Ngurah Tata Pinandhika (2,5)</t>
  </si>
  <si>
    <t>Gallang Perdhana Dalimunthe (0,5)</t>
  </si>
  <si>
    <t>BSMAO 2027 Inter 4</t>
  </si>
  <si>
    <t>Novika Candra Astuti (0,5)</t>
  </si>
  <si>
    <t>Hasbian Fauzy Perdhana(2,5)</t>
  </si>
  <si>
    <t>BSMAO 2027 Regueler A</t>
  </si>
  <si>
    <t>08.00-10.30</t>
  </si>
  <si>
    <t>Muhammad Fakhrul Rozi Ashadi (2,5)</t>
  </si>
  <si>
    <t>Atik Aprianingsih  (0,5)</t>
  </si>
  <si>
    <t>BSMAO 2027 Regueler B</t>
  </si>
  <si>
    <t>Bernadetta Nadya Amarani S (2,5)</t>
  </si>
  <si>
    <t>BSMAO 2027 Regueler C</t>
  </si>
  <si>
    <t>Novika Candra Astuti (1,5)</t>
  </si>
  <si>
    <t>Annisa Rahmani Qastharin (1,5)</t>
  </si>
  <si>
    <t>BSMAO 2027 Regueler D</t>
  </si>
  <si>
    <t>Ira Fachira (1)</t>
  </si>
  <si>
    <t>Fadhilla Sandra Adjie (2)</t>
  </si>
  <si>
    <t>MB3004</t>
  </si>
  <si>
    <t>Business Research Method</t>
  </si>
  <si>
    <t>BRM 2027 Inter 1</t>
  </si>
  <si>
    <t>13.00-15.30 dan 08.00-10.30</t>
  </si>
  <si>
    <t>Ihsan Hadiansah(2)</t>
  </si>
  <si>
    <t>Lidia Mayangsari(1)</t>
  </si>
  <si>
    <t>BRM 2027 Inter 2</t>
  </si>
  <si>
    <t>Ilham Fauzan Putra (2)</t>
  </si>
  <si>
    <t>Lidia Mayangsari (1)</t>
  </si>
  <si>
    <t>BRM 2027 Inter 3</t>
  </si>
  <si>
    <t>Ilham Nugraha (2)</t>
  </si>
  <si>
    <t>BRM 2027 Inter 4</t>
  </si>
  <si>
    <t>Salfitrie Roos Maryunani (1,5)</t>
  </si>
  <si>
    <t>BRM 2027 Reguler A</t>
  </si>
  <si>
    <t>08.00-10.30 dan 13.00-15.30</t>
  </si>
  <si>
    <t>Ihsan Hadiansah (1)</t>
  </si>
  <si>
    <t>Khrisna Ariyanto (1)</t>
  </si>
  <si>
    <t>Annisaa Novieningtyas (1)</t>
  </si>
  <si>
    <t>BRM 2027 Reguler B</t>
  </si>
  <si>
    <t>Ilham Nugraha (1)</t>
  </si>
  <si>
    <t>Prameshwara Anggahegari (1)</t>
  </si>
  <si>
    <t>Shimaditya Nuraeni (1)</t>
  </si>
  <si>
    <t>BRM 2027 Reguler C</t>
  </si>
  <si>
    <t>Lisandy Arinta Suryana (1)</t>
  </si>
  <si>
    <t>Rafi Ndari Ardianto (1)</t>
  </si>
  <si>
    <t>BRM 2027 Reguler D</t>
  </si>
  <si>
    <t>Tutorial 2D</t>
  </si>
  <si>
    <t>Anindia Pratiwi Putri (2)</t>
  </si>
  <si>
    <t>SW</t>
  </si>
  <si>
    <t>MK4009</t>
  </si>
  <si>
    <t>Technopreneur Dynamics and Business Ecosystem Development</t>
  </si>
  <si>
    <t>A</t>
  </si>
  <si>
    <t>Room 2406</t>
  </si>
  <si>
    <t>Pagi (s.d. 13.00)</t>
  </si>
  <si>
    <t>08.00 - 13.00</t>
  </si>
  <si>
    <t>Qorri Aina (1,5)</t>
  </si>
  <si>
    <t>Wawan Dhewanto (1,5)</t>
  </si>
  <si>
    <t xml:space="preserve">B </t>
  </si>
  <si>
    <t>Sudrajati Ratnaningtyas(1,5)</t>
  </si>
  <si>
    <t>Eko Agus Prasetio (1,5)</t>
  </si>
  <si>
    <t>MK3001</t>
  </si>
  <si>
    <t>Product and Market Fit</t>
  </si>
  <si>
    <t>Sri Hartati (1)</t>
  </si>
  <si>
    <t>Annisa Rahmani Qastharin (1)</t>
  </si>
  <si>
    <t>Evy Rachmawati Chaldun (1)</t>
  </si>
  <si>
    <t>CRB</t>
  </si>
  <si>
    <t>B-9617</t>
  </si>
  <si>
    <t>Qorri Aina (1)</t>
  </si>
  <si>
    <t>MK3051</t>
  </si>
  <si>
    <t>Global Product Market Fit</t>
  </si>
  <si>
    <t>INT</t>
  </si>
  <si>
    <t>Room 2507 A</t>
  </si>
  <si>
    <t>Sonny Rustiadi (1)</t>
  </si>
  <si>
    <t>MK3103</t>
  </si>
  <si>
    <t>Production System and Technology</t>
  </si>
  <si>
    <t>OPM</t>
  </si>
  <si>
    <t>Tutorial 2F</t>
  </si>
  <si>
    <t>Desy Anisya Farmaciawaty (1,5)</t>
  </si>
  <si>
    <t>Ilma Nurul Rachmania (1,5)</t>
  </si>
  <si>
    <t>B-9620</t>
  </si>
  <si>
    <t>Akbar Adhi Utama (2)</t>
  </si>
  <si>
    <t>Fransisca Budyanto Widjaja (1)</t>
  </si>
  <si>
    <t>MK3153</t>
  </si>
  <si>
    <t>Global Production Systems and Technology</t>
  </si>
  <si>
    <t>Kamis</t>
  </si>
  <si>
    <t>Yuliani Dwi Lestari (2)</t>
  </si>
  <si>
    <t>Cintia Nurliyana (1)</t>
  </si>
  <si>
    <t>MK3104</t>
  </si>
  <si>
    <t>Human and Organisational Capital for Technopreneur</t>
  </si>
  <si>
    <t>Aurik Gustomo (1)</t>
  </si>
  <si>
    <t>Nur Arief Rahmatsyah Putranto (1)</t>
  </si>
  <si>
    <t xml:space="preserve">
Achmad Fajar Hendarman (1)</t>
  </si>
  <si>
    <t>Veronica Afridita Khristiningrum (1)</t>
  </si>
  <si>
    <t>Hary Febriansyah (1)</t>
  </si>
  <si>
    <t>MK3154</t>
  </si>
  <si>
    <t>Human and Organizational Capital for Global Technopreneurship</t>
  </si>
  <si>
    <t>Achmad Fajar Hendarman (1)</t>
  </si>
  <si>
    <t xml:space="preserve">
Hary Febriansyah (1)</t>
  </si>
  <si>
    <t>MK2001</t>
  </si>
  <si>
    <t>Design Thinking for Sustainable Business (P)</t>
  </si>
  <si>
    <t>Yulianto (1,5)</t>
  </si>
  <si>
    <t>Amilia Wulansari (1,5)</t>
  </si>
  <si>
    <t>B</t>
  </si>
  <si>
    <t>Room 2507 B</t>
  </si>
  <si>
    <t>Rendra Chaerudin (1,5)</t>
  </si>
  <si>
    <t>Bayuningrat</t>
  </si>
  <si>
    <t>Evy Rachmawati Chaldun</t>
  </si>
  <si>
    <t>MK2051</t>
  </si>
  <si>
    <t>Design Thinking for Sustainable Global Business</t>
  </si>
  <si>
    <t>Leo Aldianto (1,5)</t>
  </si>
  <si>
    <t>MK2101</t>
  </si>
  <si>
    <t>Accounting for Business</t>
  </si>
  <si>
    <t>Acip Sutardi (1,5)</t>
  </si>
  <si>
    <t>Tuntun Salamatun Zen (1,5)</t>
  </si>
  <si>
    <t>Room 2405</t>
  </si>
  <si>
    <t>Ria Anugriani (1,5)</t>
  </si>
  <si>
    <t>MK2151</t>
  </si>
  <si>
    <t>Accounting for Business and International Practices</t>
  </si>
  <si>
    <t>MK2201</t>
  </si>
  <si>
    <t>Marketing for Technopreneur</t>
  </si>
  <si>
    <t>Annisa Rahmani Qastharin (0,5)</t>
  </si>
  <si>
    <t>Dipty Maura Sabilla (1,25)</t>
  </si>
  <si>
    <t>Bernadetta Nadya Amarani S (1,25)</t>
  </si>
  <si>
    <t>2E</t>
  </si>
  <si>
    <t>Anak Agung Ngurah Tata Pinandhika (1,25)</t>
  </si>
  <si>
    <t>Gallang Perdhana Dalimunthe (3)</t>
  </si>
  <si>
    <t>MK2251</t>
  </si>
  <si>
    <t>International Marketing for Technopreneur</t>
  </si>
  <si>
    <t>Nila Armelia Windasari (0,5)</t>
  </si>
  <si>
    <t>Rossy Sjarifah Sjarif (2,5)</t>
  </si>
  <si>
    <t>ENMARK 4</t>
  </si>
  <si>
    <t>Jacob Silas Mussry (2.5)</t>
  </si>
  <si>
    <t>Sahat - (1.5)</t>
  </si>
  <si>
    <t>No</t>
  </si>
  <si>
    <t>Lecturer</t>
  </si>
  <si>
    <t>Status</t>
  </si>
  <si>
    <t>Domicile</t>
  </si>
  <si>
    <t>Class</t>
  </si>
  <si>
    <t>Program</t>
  </si>
  <si>
    <t>Course</t>
  </si>
  <si>
    <t>Date</t>
  </si>
  <si>
    <t>Time</t>
  </si>
  <si>
    <t>Sessions</t>
  </si>
  <si>
    <t xml:space="preserve">Room </t>
  </si>
  <si>
    <t>Remarks</t>
  </si>
  <si>
    <t>Dr. Sahat, S.T., M.M.</t>
  </si>
  <si>
    <t>Full Time</t>
  </si>
  <si>
    <t>Jakarta</t>
  </si>
  <si>
    <t>Reguler</t>
  </si>
  <si>
    <t>ENTREE 28</t>
  </si>
  <si>
    <t>MM5014 Business Acceleration for Growth (P)</t>
  </si>
  <si>
    <t>08.30 - 14.40</t>
  </si>
  <si>
    <t>Kevin Sugiarto</t>
  </si>
  <si>
    <t>Mentor</t>
  </si>
  <si>
    <t>13:00 - 15:45</t>
  </si>
  <si>
    <t>Yulianus Adi</t>
  </si>
  <si>
    <t>Rangga Muslim, MBA</t>
  </si>
  <si>
    <t xml:space="preserve">No. </t>
  </si>
  <si>
    <t xml:space="preserve">Course </t>
  </si>
  <si>
    <t>Sesi Per Pertemuan/Total Sesi</t>
  </si>
  <si>
    <t>Team Teaching, Beban SKS</t>
  </si>
  <si>
    <t>MM5008 Strategic Decision Making and Negotiation</t>
  </si>
  <si>
    <t>Valid Hasyimi (KK), 1
Santi Novani, 1.5
Manahan Siallagan, 0.5</t>
  </si>
  <si>
    <t>Mustika Sufiati Purwanegara</t>
  </si>
  <si>
    <t>BLEMBA 39</t>
  </si>
  <si>
    <t>MM5005 Economic and Business Landscape Analysis</t>
  </si>
  <si>
    <t>Taufik Faturohman (KK), 0.5
Ana Noveria, 1.5
Mulya Amri, 1</t>
  </si>
  <si>
    <t xml:space="preserve">Deddy Priatmodjo Koesrindartoto
Dzikri Firmansyah Hakam
</t>
  </si>
  <si>
    <t>Dzikri Firmansyah Hakam (KK), 1.5
Deddy Priatmodjo Koesrindartoto, 1.5</t>
  </si>
  <si>
    <t>Deddy Priatmodjo Koesrindartoto
Dzikri Firmansyah Hakam</t>
  </si>
  <si>
    <t>MM5015 Digital Business Experience (P)</t>
  </si>
  <si>
    <t xml:space="preserve">Manahan Siallagan (KK), 1.5
Eko Agus Prasetio, 1.5 </t>
  </si>
  <si>
    <t xml:space="preserve">Mulya Amri
Ana Noveria
</t>
  </si>
  <si>
    <t>Dzikri Firmansyah Hakam (KK), 1.5
Retno Gumilang Dwi, 0.75
Yudo Anggoro, 0.75</t>
  </si>
  <si>
    <t>Ana Noveria
Mulya Amri</t>
  </si>
  <si>
    <t>Ana Noveria (KK), 1.5
Mulya Amri, 1.5</t>
  </si>
  <si>
    <t>Dzikri Firmansyah Hakam
Yudo Anggoro
Retno Gumilang Dewi</t>
  </si>
  <si>
    <t>MM5001 Marketing Management</t>
  </si>
  <si>
    <t>Gallang Perdhana Dallimunthe (KK), 0.75
Muhammad Fakhrul Rozi Ashadi, 2.25</t>
  </si>
  <si>
    <t>Raden Aswin Rahadi (KK), 1.5
Subiakto Soekarno, 1.5</t>
  </si>
  <si>
    <t>MM5007 Financial Management and Policy</t>
  </si>
  <si>
    <t>Sylviana Maya Damayanti (KK), 0.5
Achmad Herlanto Anggono, 2.5</t>
  </si>
  <si>
    <t>Deddy Priatmodjo Koesrindartoto
Achmad Herlanto Anggono</t>
  </si>
  <si>
    <t>Raden Aswin Rahadi (KK), 0.5
Erman Sumirat, 2.5</t>
  </si>
  <si>
    <t>Subiakto Soekarno (KK), 1.5
Raden Aswin Rahadi, 1.5</t>
  </si>
  <si>
    <t xml:space="preserve">Raden Aswin Rahadi
Socrates Rudy Sirait
</t>
  </si>
  <si>
    <t>Raden Aswin Rahadi (KK), 2
Socrates Rudy Sirait, 1</t>
  </si>
  <si>
    <t>Oktofa Yudha Sudrajad
Subiakto Soekarno</t>
  </si>
  <si>
    <t>MM5013 New Venture Management (P)</t>
  </si>
  <si>
    <t>Dina Dellyana (KK), 1.5
Sonny Rustiadi, 1.5</t>
  </si>
  <si>
    <t>Utomo Sarjono Putro
Meditya Wasesa</t>
  </si>
  <si>
    <t>MM5010 Strategic Management and Agile Enterprise</t>
  </si>
  <si>
    <t>Atik Aprianingsih (KK), 3</t>
  </si>
  <si>
    <t xml:space="preserve">Atik Aprianingsih
Mustika Sufiati Purwanegara
</t>
  </si>
  <si>
    <t>Novika Candra Astuti (KK), 3</t>
  </si>
  <si>
    <t>Ilma Aulia Zaim</t>
  </si>
  <si>
    <t>MM6094 Research Methodology for Business</t>
  </si>
  <si>
    <t>Valid Hasyimi (KK), 1
Manahan Siallagan, 1.5
Sahat Hutajulu, 0.5</t>
  </si>
  <si>
    <t>Ilma Aulia Zaim
Ira Fachira</t>
  </si>
  <si>
    <t>MM5011 Management of Innovation, Technology and Entrepreneurship</t>
  </si>
  <si>
    <t>Leo Aldianto (KK), 1.5
Eko Agus Prasetio, 1.5</t>
  </si>
  <si>
    <t xml:space="preserve">Leo Aldianto
Eko Agus Prasetio
</t>
  </si>
  <si>
    <t>Leo Aldianto (KK), 1.5
Sahat Hutajulu, 1.5</t>
  </si>
  <si>
    <t>Sahat Hutajulu (KK), 1.5
Dina Dellyana, 1.5</t>
  </si>
  <si>
    <t>Ana Noveria (KK), 2.25
Mulya Amri, 0.75</t>
  </si>
  <si>
    <t xml:space="preserve">Valid Hasyimi
Rama Permana
</t>
  </si>
  <si>
    <t>MBA Jakarta</t>
  </si>
  <si>
    <t>MM6091 Project Proposal</t>
  </si>
  <si>
    <t>MM6092 Thesis Proposal</t>
  </si>
  <si>
    <t>Santi Novani (KK), 1.5
Utomo Sarjono Putro, 1.5</t>
  </si>
  <si>
    <t xml:space="preserve">Pri Hermawan
Isti Raafaldini Mirzanti
</t>
  </si>
  <si>
    <t>Yos Sunitiyoso (KK), 1.5
Valid Hasyimi, 1.5</t>
  </si>
  <si>
    <t xml:space="preserve">Sahat Hutajulu
Yos Sunitiyoso
</t>
  </si>
  <si>
    <t>MM5006 Financial Management and Policy</t>
  </si>
  <si>
    <t xml:space="preserve">Manahan Siallagan
Meditya Wasesa
</t>
  </si>
  <si>
    <t>Meditya Wasesa (KK), 1.5
Valid Hasyimi, 1
Sahat, 0.5</t>
  </si>
  <si>
    <t>Achmad Ghazali
Sahat Hutajulu</t>
  </si>
  <si>
    <t>Yos Sunitiyoso (KK), 1.5
Utomo Sarjono Putro, 1.5</t>
  </si>
  <si>
    <t>Oktofa Yudha Sudrajad
Valid Hasyimi</t>
  </si>
  <si>
    <t>Meditya Wasesa (KK), 1.5
Valid Hasyimi, 1.5</t>
  </si>
  <si>
    <t>Yos Sunitiyoso
Meditya Wasesa</t>
  </si>
  <si>
    <t>MM6095 Comprehensive Exam</t>
  </si>
  <si>
    <t>MM6096 Final Project Case Study</t>
  </si>
  <si>
    <t>MM6097 Project Thesis</t>
  </si>
  <si>
    <t>MM6098 Research Thesis</t>
  </si>
  <si>
    <t>MM6099 Final Defense</t>
  </si>
  <si>
    <t>Legenda</t>
  </si>
  <si>
    <t>Matkul 1</t>
  </si>
  <si>
    <t>Matkul 2</t>
  </si>
  <si>
    <t>Matkul 3</t>
  </si>
  <si>
    <t>OVERALL SCHEDULE DRAFT</t>
  </si>
  <si>
    <t>Incl. Exam</t>
  </si>
  <si>
    <t>Online</t>
  </si>
  <si>
    <t>Juni</t>
  </si>
  <si>
    <t>Juli</t>
  </si>
  <si>
    <t>Agustus</t>
  </si>
  <si>
    <t>KELAS</t>
  </si>
  <si>
    <t>Mon</t>
  </si>
  <si>
    <t>Tue</t>
  </si>
  <si>
    <t>Wed</t>
  </si>
  <si>
    <t>Thu</t>
  </si>
  <si>
    <t>Fri</t>
  </si>
  <si>
    <t>Sat</t>
  </si>
  <si>
    <t>Sun</t>
  </si>
  <si>
    <t>RMB SEM-2</t>
  </si>
  <si>
    <t>DNA</t>
  </si>
  <si>
    <t>Lecture</t>
  </si>
  <si>
    <t>08.00 -15.05</t>
  </si>
  <si>
    <t xml:space="preserve">(1) Mid-term and final exams schedule shown are indicative. </t>
  </si>
  <si>
    <t xml:space="preserve">For some classes, in some courses, exams may be conducted on a separate day (next Saturday/ Sunday after the class sessions). </t>
  </si>
  <si>
    <t>Please check your syllabus</t>
  </si>
  <si>
    <t>(2) SBM ITB reserves the right to make changes to the schedule.</t>
  </si>
  <si>
    <t/>
  </si>
  <si>
    <t>INSTITUT TEKNOLOGI BANDUNG</t>
  </si>
  <si>
    <t>SCHOOL OF BUSINESS &amp; MANAGEMENT</t>
  </si>
  <si>
    <t>JAKARTA CAMPUS</t>
  </si>
  <si>
    <t>Campus Schedule (Semester II 2025/2026)</t>
  </si>
  <si>
    <t>PARTICIPANTS</t>
  </si>
  <si>
    <t>ROOM</t>
  </si>
  <si>
    <t>MONDAY</t>
  </si>
  <si>
    <t>TUESDAY</t>
  </si>
  <si>
    <t>WEDNESDAY</t>
  </si>
  <si>
    <t>THURSDAY</t>
  </si>
  <si>
    <t>FRIDAY</t>
  </si>
  <si>
    <t>SATURDAY</t>
  </si>
  <si>
    <t>SUNDAY</t>
  </si>
  <si>
    <t>PANCASILA DAY</t>
  </si>
  <si>
    <t>ISLAMIC NEW YEAR</t>
  </si>
  <si>
    <t>Philip Kotler MarkPlus Amphitheatre</t>
  </si>
  <si>
    <t>MM5010 Strategic Management and Agile Enterprise 
5 Sessions 
(17.30 - 22.20)</t>
  </si>
  <si>
    <t>KIRANA MEGATARA 1</t>
  </si>
  <si>
    <t>MM5008 Strategic Decision Making and Negotiation 
8 Sessions 
(08.30 - 16.35)</t>
  </si>
  <si>
    <t>MM5015 Digital Business Experience (P) 
8 Sessions 
(08.30 - 16.35)</t>
  </si>
  <si>
    <t>KIRANA MEGATARA 2</t>
  </si>
  <si>
    <t>MM5001 Marketing Management 
8 Sessions 
(08.30 - 16.35)</t>
  </si>
  <si>
    <t>MM6094 Research Methodology for Business 
8 Sessions 
(08.30 - 16.35)</t>
  </si>
  <si>
    <t>R. HENK UNO</t>
  </si>
  <si>
    <t>MM5010 Strategic Management and Agile Enterprise 
8 Sessions 
(08.30 - 16.35)</t>
  </si>
  <si>
    <t>MM5011 Management of Innovation, Technology and Entrepreneurship 
8 Sessions 
(08.30 - 16.35)</t>
  </si>
  <si>
    <t>MEDCO</t>
  </si>
  <si>
    <t>MM5005 Economic and Business Landscape Analysis 
8 Sessions 
(08.30 - 16.35)</t>
  </si>
  <si>
    <t>MM5007 Financial Management and Policy 
8 Sessions 
(08.30 - 16.35)</t>
  </si>
  <si>
    <t xml:space="preserve">for some classes, in some courses, exams may be conducted on a separate day (next Saturday/ Sunday after the class sessions). </t>
  </si>
  <si>
    <t>Campus Schedule (Short Semester 2024/2025)</t>
  </si>
  <si>
    <t>NONI PURNOMO</t>
  </si>
  <si>
    <t>BLEMBA 36</t>
  </si>
  <si>
    <t>BLEMBA 37</t>
  </si>
  <si>
    <t>ENEMBA 10</t>
  </si>
  <si>
    <t>STEMBA 4</t>
  </si>
  <si>
    <t>SMEMBA 9</t>
  </si>
  <si>
    <t>Hari Pertama Masa Kuliah Semester I-2025/2026</t>
  </si>
  <si>
    <t>Batas Akhir Kategori Tepat Waktu Pemasukan Nilai Akhir Mata Kuliah Semester Pendek 2024/2025</t>
  </si>
  <si>
    <t>BIRTHDAY OF PROPHET MUHAMMAD SAW</t>
  </si>
  <si>
    <t>Penyelesaian Kasus Batas Waktu Studi</t>
  </si>
  <si>
    <t>Time and Session Reference Sheet</t>
  </si>
  <si>
    <t>REGULER</t>
  </si>
  <si>
    <t>Pertemuan</t>
  </si>
  <si>
    <t>08.30 - 09.20</t>
  </si>
  <si>
    <t>09.20 - 10.10</t>
  </si>
  <si>
    <t>08.30 - 13.50</t>
  </si>
  <si>
    <t>10.25 - 11.15</t>
  </si>
  <si>
    <t>13.50 - 16.50</t>
  </si>
  <si>
    <t>11.15 - 12.05</t>
  </si>
  <si>
    <t>13.00 - 13.50</t>
  </si>
  <si>
    <t>13.50 - 14.40</t>
  </si>
  <si>
    <t>14.55 - 15.45</t>
  </si>
  <si>
    <t>15.45 - 16.35</t>
  </si>
  <si>
    <t>EKSEKUTIF</t>
  </si>
  <si>
    <t>08.00 - 08.50</t>
  </si>
  <si>
    <t>08.00 - 18.40</t>
  </si>
  <si>
    <t>08.50 - 09.40</t>
  </si>
  <si>
    <t>09.55 - 10.45</t>
  </si>
  <si>
    <t>09.00 - 12.00</t>
  </si>
  <si>
    <t>10.45 - 11.35</t>
  </si>
  <si>
    <t>ASYNC</t>
  </si>
  <si>
    <t>11.35 - 12.25</t>
  </si>
  <si>
    <t>13.25 - 14.15</t>
  </si>
  <si>
    <t>14.15 - 15.05</t>
  </si>
  <si>
    <t>15.20 - 16.10</t>
  </si>
  <si>
    <t>16.10 - 17.00</t>
  </si>
  <si>
    <t>17.00 - 17.50</t>
  </si>
  <si>
    <t>17.50 - 18.40</t>
  </si>
  <si>
    <t>ENMARK</t>
  </si>
  <si>
    <t>17.30 - 18.20</t>
  </si>
  <si>
    <t>17.30 - 22.20</t>
  </si>
  <si>
    <t>19.00 - 19.50</t>
  </si>
  <si>
    <t>19.50 - 20.40</t>
  </si>
  <si>
    <t>20.00 - 22.00</t>
  </si>
  <si>
    <t>20.40 - 21.30</t>
  </si>
  <si>
    <t>21.30 - 22.20</t>
  </si>
  <si>
    <t>REGULAR</t>
  </si>
  <si>
    <t>8 Session</t>
  </si>
  <si>
    <t>5 Sessions</t>
  </si>
  <si>
    <t>Mid Exam</t>
  </si>
  <si>
    <t>Final Exam</t>
  </si>
  <si>
    <t>MM5013</t>
  </si>
  <si>
    <t>New Venture Management (P)</t>
  </si>
  <si>
    <t>MM5015</t>
  </si>
  <si>
    <t>Digital Business Experience (P)</t>
  </si>
  <si>
    <t>MM6094</t>
  </si>
  <si>
    <t>Research Methodology for Business</t>
  </si>
  <si>
    <t>EXECUTIVE</t>
  </si>
  <si>
    <t>11 Sessions</t>
  </si>
  <si>
    <t>10 Sessions</t>
  </si>
  <si>
    <t>BLEMBA 36 - 3 Intake Sep-24</t>
  </si>
  <si>
    <t>BLEMBA 37 - 2 Intake Feb-25</t>
  </si>
  <si>
    <t>ENTREE 27 - 3 Intake Sep-24</t>
  </si>
  <si>
    <t>ENTREE 28 - 2 Intake Feb-25</t>
  </si>
  <si>
    <t>ENEMBA 10 - 2 Intake Feb-25</t>
  </si>
  <si>
    <t>SMEMBA 9 - 2 Intake Feb-25</t>
  </si>
  <si>
    <t>ENMARK 3 - 3 Intake Sep-24</t>
  </si>
  <si>
    <t>STEMBA 4 - 2 Intake Feb-25</t>
  </si>
  <si>
    <t>GM 19</t>
  </si>
  <si>
    <t>GM 20</t>
  </si>
  <si>
    <t>ENTREE 27</t>
  </si>
  <si>
    <t>08.00-15.05</t>
  </si>
  <si>
    <t>09.00-12.00</t>
  </si>
  <si>
    <t>R.Henk Uno</t>
  </si>
  <si>
    <t>08.00-18.40</t>
  </si>
  <si>
    <t>08.00-17.50</t>
  </si>
  <si>
    <t>Philip Kotler Amphitheatre MarkPlus</t>
  </si>
  <si>
    <t>ENMARK 3</t>
  </si>
  <si>
    <t>17.30-22.20</t>
  </si>
  <si>
    <t>17.30-21.30</t>
  </si>
  <si>
    <t>21.30-22.20</t>
  </si>
  <si>
    <t xml:space="preserve">FINAL EXAM </t>
  </si>
  <si>
    <t>KURLA</t>
  </si>
  <si>
    <t>KURBA</t>
  </si>
  <si>
    <t>Kode Matkul</t>
  </si>
  <si>
    <t>Nama Matkul</t>
  </si>
  <si>
    <t>Intake</t>
  </si>
  <si>
    <t>MM5003</t>
  </si>
  <si>
    <t>Organizational Behaviour and Managing People</t>
  </si>
  <si>
    <t>BLEMBA 35</t>
  </si>
  <si>
    <t>ENTRÉE 28</t>
  </si>
  <si>
    <t>GM 18</t>
  </si>
  <si>
    <t>ENEMBA 9</t>
  </si>
  <si>
    <t>SMEMBA 8</t>
  </si>
  <si>
    <t>STEMBA 3</t>
  </si>
  <si>
    <t>ENTREE 26</t>
  </si>
  <si>
    <t>ENTRÉE 27</t>
  </si>
  <si>
    <t>ENTREE 25</t>
  </si>
  <si>
    <t>MM5009</t>
  </si>
  <si>
    <t>GM 17</t>
  </si>
  <si>
    <t>MM5016</t>
  </si>
  <si>
    <t>Knowledge Management for Innovation</t>
  </si>
  <si>
    <t>BLEMBA 34</t>
  </si>
  <si>
    <t>MM5017</t>
  </si>
  <si>
    <t>Entrepreneurial Leadership</t>
  </si>
  <si>
    <t>MM6055</t>
  </si>
  <si>
    <t>Social Entrepreneurship and Leadership</t>
  </si>
  <si>
    <t>ENMARK 2</t>
  </si>
  <si>
    <t>MM6059</t>
  </si>
  <si>
    <t>Environmental, Social, and Governance</t>
  </si>
  <si>
    <t>EMBA BIB</t>
  </si>
  <si>
    <t>MM6098</t>
  </si>
  <si>
    <t>MM6091</t>
  </si>
  <si>
    <t xml:space="preserve">Project Proposal </t>
  </si>
  <si>
    <t>MM6092</t>
  </si>
  <si>
    <t>Thesis Proposal</t>
  </si>
  <si>
    <t>Final Project</t>
  </si>
  <si>
    <t>MM6095</t>
  </si>
  <si>
    <t>Comprehensive Exam</t>
  </si>
  <si>
    <t>MM6096</t>
  </si>
  <si>
    <t>Final Project Case Study</t>
  </si>
  <si>
    <t>MM6097</t>
  </si>
  <si>
    <t>Project Thesis</t>
  </si>
  <si>
    <t>Research Thesis</t>
  </si>
  <si>
    <t xml:space="preserve">MM6099 </t>
  </si>
  <si>
    <t>Location</t>
  </si>
  <si>
    <t>Bandung</t>
  </si>
  <si>
    <t>08.30 - 12.05 dan 13.00 - 16.35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</si>
</sst>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mmmyy"/>
    <numFmt numFmtId="165" formatCode="d&quot; &quot;mmmm&quot; &quot;yyyy"/>
    <numFmt numFmtId="166" formatCode="[$-421]dd\ mmmm\ yyyy"/>
    <numFmt numFmtId="167" formatCode="[$-809]dd\ mmmm\ yyyy"/>
  </numFmts>
  <fonts count="45">
    <font>
      <sz val="11"/>
      <color theme="1"/>
      <name val="Aptos Narrow"/>
      <scheme val="minor"/>
    </font>
    <font>
      <b/>
      <sz val="11"/>
      <color theme="1"/>
      <name val="Tahoma"/>
    </font>
    <font>
      <sz val="11"/>
      <color theme="1"/>
      <name val="Tahoma"/>
    </font>
    <font>
      <sz val="11"/>
      <color rgb="FF000000"/>
      <name val="Tahoma"/>
    </font>
    <font>
      <b/>
      <sz val="9"/>
      <color theme="1"/>
      <name val="Tahoma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</font>
    <font>
      <sz val="11"/>
      <color rgb="FF000000"/>
      <name val="Arial"/>
    </font>
    <font>
      <sz val="11"/>
      <color rgb="FF000000"/>
      <name val="Aptos Narrow"/>
    </font>
    <font>
      <b/>
      <sz val="12"/>
      <color theme="1"/>
      <name val="Aptos Narrow"/>
    </font>
    <font>
      <sz val="11"/>
      <name val="Aptos Narrow"/>
    </font>
    <font>
      <b/>
      <sz val="11"/>
      <color rgb="FF000000"/>
      <name val="&quot;Aptos Narrow&quot;"/>
    </font>
    <font>
      <b/>
      <sz val="11"/>
      <color rgb="FF000000"/>
      <name val="Arial"/>
    </font>
    <font>
      <b/>
      <sz val="18"/>
      <color theme="1"/>
      <name val="Aptos Narrow"/>
    </font>
    <font>
      <b/>
      <sz val="11"/>
      <color rgb="FFFF0000"/>
      <name val="&quot;Aptos Narrow&quot;"/>
    </font>
    <font>
      <b/>
      <sz val="10"/>
      <color rgb="FF000000"/>
      <name val="Aptos Narrow"/>
    </font>
    <font>
      <sz val="10"/>
      <color rgb="FF000000"/>
      <name val="Aptos Narrow"/>
    </font>
    <font>
      <b/>
      <sz val="14"/>
      <color rgb="FF000000"/>
      <name val="Arial"/>
    </font>
    <font>
      <sz val="11"/>
      <color rgb="FF000000"/>
      <name val="&quot;Aptos Narrow&quot;"/>
    </font>
    <font>
      <b/>
      <sz val="11"/>
      <color theme="1"/>
      <name val="Aptos Narrow"/>
    </font>
    <font>
      <sz val="11"/>
      <color theme="1"/>
      <name val="Arial"/>
    </font>
    <font>
      <b/>
      <sz val="11"/>
      <color rgb="FFFF0000"/>
      <name val="Arial"/>
    </font>
    <font>
      <sz val="14"/>
      <color theme="1"/>
      <name val="Tahoma"/>
    </font>
    <font>
      <b/>
      <sz val="11"/>
      <color rgb="FF002060"/>
      <name val="Calibri"/>
    </font>
    <font>
      <b/>
      <sz val="11"/>
      <color rgb="FF000000"/>
      <name val="Calibri"/>
    </font>
    <font>
      <b/>
      <sz val="11"/>
      <color rgb="FFFFFFFF"/>
      <name val="Calibri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  <font>
      <b/>
      <sz val="11"/>
      <color theme="0"/>
      <name val="Calibri"/>
    </font>
    <font>
      <b/>
      <sz val="11"/>
      <color rgb="FF073763"/>
      <name val="Calibri"/>
    </font>
    <font>
      <b/>
      <sz val="12"/>
      <color rgb="FF002060"/>
      <name val="Calibri"/>
    </font>
    <font>
      <sz val="10"/>
      <color rgb="FF000000"/>
      <name val="Arial"/>
    </font>
    <font>
      <b/>
      <sz val="12"/>
      <color rgb="FFFFFFFF"/>
      <name val="Calibri"/>
    </font>
    <font>
      <b/>
      <sz val="12"/>
      <color theme="0"/>
      <name val="Calibri"/>
    </font>
    <font>
      <b/>
      <sz val="12"/>
      <color theme="1"/>
      <name val="Calibri"/>
    </font>
    <font>
      <sz val="12"/>
      <color theme="1"/>
      <name val="Aptos Narrow"/>
    </font>
    <font>
      <sz val="12"/>
      <color rgb="FF000000"/>
      <name val="Calibri"/>
    </font>
    <font>
      <b/>
      <sz val="11"/>
      <color rgb="FFDBE5F1"/>
      <name val="Calibri"/>
    </font>
    <font>
      <b/>
      <sz val="11"/>
      <color theme="1"/>
      <name val="Arial"/>
    </font>
    <font>
      <b/>
      <sz val="11"/>
      <color rgb="FF000000"/>
      <name val="Arial"/>
    </font>
    <font>
      <b/>
      <sz val="11"/>
      <color rgb="FFFF0000"/>
      <name val="Arial"/>
    </font>
    <font>
      <b/>
      <sz val="11"/>
      <color theme="1"/>
      <name val="Aptos Narrow"/>
    </font>
    <font>
      <sz val="11"/>
      <color theme="1"/>
      <name val="Aptos Narrow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C000"/>
        <bgColor rgb="FFFFC000"/>
      </patternFill>
    </fill>
    <fill>
      <patternFill patternType="solid">
        <fgColor rgb="FFDBDFE3"/>
        <bgColor rgb="FFDBDFE3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83CAEB"/>
        <bgColor rgb="FF83CAEB"/>
      </patternFill>
    </fill>
    <fill>
      <patternFill patternType="solid">
        <fgColor rgb="FFFFE599"/>
        <bgColor rgb="FFFFE599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DBE5F1"/>
        <bgColor rgb="FFDBE5F1"/>
      </patternFill>
    </fill>
    <fill>
      <patternFill patternType="solid">
        <fgColor rgb="FF002060"/>
        <bgColor rgb="FF002060"/>
      </patternFill>
    </fill>
    <fill>
      <patternFill patternType="solid">
        <fgColor rgb="FFFBD4B4"/>
        <bgColor rgb="FFFBD4B4"/>
      </patternFill>
    </fill>
    <fill>
      <patternFill patternType="solid">
        <fgColor rgb="FFF6B26B"/>
        <bgColor rgb="FFF6B26B"/>
      </patternFill>
    </fill>
    <fill>
      <patternFill patternType="solid">
        <fgColor rgb="FFC2D69B"/>
        <bgColor rgb="FFC2D69B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F2D0"/>
        <bgColor rgb="FFD9F2D0"/>
      </patternFill>
    </fill>
    <fill>
      <patternFill patternType="solid">
        <fgColor rgb="FF0E2841"/>
        <bgColor rgb="FF0E2841"/>
      </patternFill>
    </fill>
    <fill>
      <patternFill patternType="solid">
        <fgColor rgb="FFDBE9F7"/>
        <bgColor rgb="FFDBE9F7"/>
      </patternFill>
    </fill>
  </fills>
  <borders count="5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4F81BD"/>
      </left>
      <right style="thin">
        <color rgb="FF4F81BD"/>
      </right>
      <top style="thin">
        <color rgb="FF4F81BD"/>
      </top>
      <bottom/>
      <diagonal/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  <diagonal/>
    </border>
    <border>
      <left style="thin">
        <color rgb="FF4F81BD"/>
      </left>
      <right style="thin">
        <color rgb="FF4F81BD"/>
      </right>
      <top/>
      <bottom style="thin">
        <color rgb="FF4F81BD"/>
      </bottom>
      <diagonal/>
    </border>
    <border>
      <left style="thin">
        <color rgb="FF4F81BD"/>
      </left>
      <right/>
      <top style="thin">
        <color rgb="FF4F81BD"/>
      </top>
      <bottom/>
      <diagonal/>
    </border>
    <border>
      <left/>
      <right/>
      <top style="thin">
        <color rgb="FF4F81BD"/>
      </top>
      <bottom/>
      <diagonal/>
    </border>
    <border>
      <left/>
      <right style="thin">
        <color rgb="FF4F81BD"/>
      </right>
      <top style="thin">
        <color rgb="FF4F81BD"/>
      </top>
      <bottom/>
      <diagonal/>
    </border>
    <border>
      <left style="thin">
        <color rgb="FF4F81BD"/>
      </left>
      <right/>
      <top style="thin">
        <color rgb="FF4F81BD"/>
      </top>
      <bottom style="thin">
        <color rgb="FF4F81BD"/>
      </bottom>
      <diagonal/>
    </border>
    <border>
      <left style="thin">
        <color rgb="FF4F81BD"/>
      </left>
      <right style="thin">
        <color rgb="FF4F81BD"/>
      </right>
      <top/>
      <bottom style="thin">
        <color rgb="FF4F81BD"/>
      </bottom>
      <diagonal/>
    </border>
    <border>
      <left style="thin">
        <color rgb="FF4F81BD"/>
      </left>
      <right style="thin">
        <color rgb="FF4F81BD"/>
      </right>
      <top/>
      <bottom/>
      <diagonal/>
    </border>
    <border>
      <left/>
      <right style="thin">
        <color rgb="FF4F81BD"/>
      </right>
      <top style="thin">
        <color rgb="FF4F81BD"/>
      </top>
      <bottom style="thin">
        <color rgb="FF4F81BD"/>
      </bottom>
      <diagonal/>
    </border>
    <border>
      <left style="thin">
        <color rgb="FF4F81BD"/>
      </left>
      <right/>
      <top style="thin">
        <color rgb="FF4F81BD"/>
      </top>
      <bottom style="thin">
        <color rgb="FF4F81BD"/>
      </bottom>
      <diagonal/>
    </border>
    <border>
      <left style="medium">
        <color rgb="FF4F81BD"/>
      </left>
      <right/>
      <top style="medium">
        <color rgb="FF4F81BD"/>
      </top>
      <bottom style="medium">
        <color rgb="FF4F81BD"/>
      </bottom>
      <diagonal/>
    </border>
    <border>
      <left style="thin">
        <color rgb="FF4F81BD"/>
      </left>
      <right style="thin">
        <color rgb="FF4F81BD"/>
      </right>
      <top style="thin">
        <color rgb="FF4F81BD"/>
      </top>
      <bottom/>
      <diagonal/>
    </border>
    <border>
      <left style="thin">
        <color rgb="FF4F81BD"/>
      </left>
      <right/>
      <top style="thin">
        <color rgb="FF4F81BD"/>
      </top>
      <bottom/>
      <diagonal/>
    </border>
    <border>
      <left style="thin">
        <color rgb="FF4F81BD"/>
      </left>
      <right/>
      <top style="thin">
        <color rgb="FF4F81BD"/>
      </top>
      <bottom/>
      <diagonal/>
    </border>
    <border>
      <left style="thin">
        <color rgb="FF4F81BD"/>
      </left>
      <right/>
      <top style="thin">
        <color rgb="FF4F81BD"/>
      </top>
      <bottom/>
      <diagonal/>
    </border>
    <border>
      <left/>
      <right style="thin">
        <color rgb="FF4F81BD"/>
      </right>
      <top style="thin">
        <color rgb="FF4F81BD"/>
      </top>
      <bottom style="thin">
        <color rgb="FF4F81BD"/>
      </bottom>
      <diagonal/>
    </border>
    <border>
      <left/>
      <right/>
      <top style="thin">
        <color rgb="FF4F81BD"/>
      </top>
      <bottom style="thin">
        <color rgb="FF4F81BD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FF0000"/>
      </left>
      <right style="medium">
        <color rgb="FFFF0000"/>
      </right>
      <top/>
      <bottom style="thin">
        <color rgb="FF000000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vertical="center" wrapText="1"/>
    </xf>
    <xf numFmtId="15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 wrapText="1"/>
    </xf>
    <xf numFmtId="15" fontId="2" fillId="3" borderId="1" xfId="0" applyNumberFormat="1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/>
    <xf numFmtId="15" fontId="3" fillId="4" borderId="1" xfId="0" applyNumberFormat="1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15" fontId="2" fillId="0" borderId="0" xfId="0" applyNumberFormat="1" applyFont="1" applyAlignment="1">
      <alignment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wrapText="1"/>
    </xf>
    <xf numFmtId="0" fontId="1" fillId="9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5" fontId="2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4" fillId="10" borderId="0" xfId="0" applyFont="1" applyFill="1" applyAlignment="1">
      <alignment horizontal="center" wrapText="1"/>
    </xf>
    <xf numFmtId="0" fontId="4" fillId="10" borderId="1" xfId="0" applyFont="1" applyFill="1" applyBorder="1" applyAlignment="1">
      <alignment horizontal="center" wrapText="1"/>
    </xf>
    <xf numFmtId="0" fontId="1" fillId="10" borderId="1" xfId="0" applyFont="1" applyFill="1" applyBorder="1" applyAlignment="1">
      <alignment horizontal="center" wrapText="1"/>
    </xf>
    <xf numFmtId="165" fontId="1" fillId="10" borderId="1" xfId="0" applyNumberFormat="1" applyFont="1" applyFill="1" applyBorder="1" applyAlignment="1">
      <alignment horizontal="center"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wrapText="1"/>
    </xf>
    <xf numFmtId="165" fontId="2" fillId="0" borderId="1" xfId="0" applyNumberFormat="1" applyFont="1" applyBorder="1" applyAlignment="1">
      <alignment horizontal="center" wrapText="1"/>
    </xf>
    <xf numFmtId="0" fontId="5" fillId="0" borderId="1" xfId="0" applyFont="1" applyBorder="1"/>
    <xf numFmtId="0" fontId="2" fillId="11" borderId="0" xfId="0" applyFont="1" applyFill="1" applyAlignment="1">
      <alignment wrapText="1"/>
    </xf>
    <xf numFmtId="0" fontId="2" fillId="11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center" vertical="center" wrapText="1"/>
    </xf>
    <xf numFmtId="166" fontId="1" fillId="10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/>
    <xf numFmtId="0" fontId="5" fillId="0" borderId="1" xfId="0" applyFont="1" applyBorder="1" applyAlignment="1">
      <alignment wrapText="1"/>
    </xf>
    <xf numFmtId="0" fontId="5" fillId="0" borderId="0" xfId="0" applyFont="1"/>
    <xf numFmtId="0" fontId="7" fillId="0" borderId="1" xfId="0" applyFont="1" applyBorder="1" applyAlignment="1">
      <alignment horizontal="left" vertical="center" wrapText="1"/>
    </xf>
    <xf numFmtId="0" fontId="6" fillId="12" borderId="1" xfId="0" applyFont="1" applyFill="1" applyBorder="1"/>
    <xf numFmtId="0" fontId="5" fillId="12" borderId="1" xfId="0" applyFont="1" applyFill="1" applyBorder="1" applyAlignment="1">
      <alignment wrapText="1"/>
    </xf>
    <xf numFmtId="0" fontId="5" fillId="12" borderId="1" xfId="0" applyFont="1" applyFill="1" applyBorder="1"/>
    <xf numFmtId="0" fontId="5" fillId="8" borderId="1" xfId="0" applyFont="1" applyFill="1" applyBorder="1" applyAlignment="1">
      <alignment wrapText="1"/>
    </xf>
    <xf numFmtId="0" fontId="6" fillId="0" borderId="0" xfId="0" applyFont="1"/>
    <xf numFmtId="0" fontId="8" fillId="0" borderId="1" xfId="0" applyFont="1" applyBorder="1"/>
    <xf numFmtId="0" fontId="9" fillId="0" borderId="1" xfId="0" applyFont="1" applyBorder="1"/>
    <xf numFmtId="0" fontId="8" fillId="0" borderId="1" xfId="0" applyFont="1" applyBorder="1" applyAlignment="1">
      <alignment wrapText="1"/>
    </xf>
    <xf numFmtId="0" fontId="6" fillId="8" borderId="1" xfId="0" applyFont="1" applyFill="1" applyBorder="1"/>
    <xf numFmtId="0" fontId="5" fillId="8" borderId="1" xfId="0" applyFont="1" applyFill="1" applyBorder="1"/>
    <xf numFmtId="0" fontId="9" fillId="0" borderId="0" xfId="0" applyFont="1"/>
    <xf numFmtId="0" fontId="6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 applyAlignment="1">
      <alignment vertical="center"/>
    </xf>
    <xf numFmtId="0" fontId="7" fillId="2" borderId="4" xfId="0" applyFont="1" applyFill="1" applyBorder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7" fillId="13" borderId="4" xfId="0" applyFont="1" applyFill="1" applyBorder="1" applyAlignment="1">
      <alignment vertical="center"/>
    </xf>
    <xf numFmtId="0" fontId="7" fillId="14" borderId="4" xfId="0" applyFont="1" applyFill="1" applyBorder="1" applyAlignment="1">
      <alignment vertical="center"/>
    </xf>
    <xf numFmtId="0" fontId="13" fillId="0" borderId="5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10" xfId="0" applyFont="1" applyBorder="1" applyAlignment="1">
      <alignment vertical="center"/>
    </xf>
    <xf numFmtId="0" fontId="12" fillId="0" borderId="11" xfId="0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21" fillId="15" borderId="0" xfId="0" applyFont="1" applyFill="1" applyAlignment="1">
      <alignment vertical="center"/>
    </xf>
    <xf numFmtId="0" fontId="19" fillId="7" borderId="16" xfId="0" applyFont="1" applyFill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16" borderId="16" xfId="0" applyFont="1" applyFill="1" applyBorder="1" applyAlignment="1">
      <alignment horizontal="center" vertical="center"/>
    </xf>
    <xf numFmtId="0" fontId="19" fillId="13" borderId="16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1" fillId="17" borderId="0" xfId="0" applyFont="1" applyFill="1" applyAlignment="1">
      <alignment vertical="center"/>
    </xf>
    <xf numFmtId="0" fontId="19" fillId="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16" borderId="1" xfId="0" applyFont="1" applyFill="1" applyBorder="1" applyAlignment="1">
      <alignment horizontal="center" vertical="center"/>
    </xf>
    <xf numFmtId="0" fontId="19" fillId="14" borderId="1" xfId="0" applyFont="1" applyFill="1" applyBorder="1" applyAlignment="1">
      <alignment horizontal="center" vertical="center"/>
    </xf>
    <xf numFmtId="0" fontId="21" fillId="18" borderId="0" xfId="0" applyFont="1" applyFill="1" applyAlignment="1">
      <alignment vertical="center"/>
    </xf>
    <xf numFmtId="0" fontId="21" fillId="19" borderId="0" xfId="0" applyFont="1" applyFill="1" applyAlignment="1">
      <alignment vertical="center"/>
    </xf>
    <xf numFmtId="0" fontId="7" fillId="2" borderId="1" xfId="0" applyFont="1" applyFill="1" applyBorder="1"/>
    <xf numFmtId="0" fontId="21" fillId="20" borderId="0" xfId="0" applyFont="1" applyFill="1" applyAlignment="1">
      <alignment vertical="center"/>
    </xf>
    <xf numFmtId="0" fontId="21" fillId="21" borderId="0" xfId="0" applyFont="1" applyFill="1" applyAlignment="1">
      <alignment vertical="center"/>
    </xf>
    <xf numFmtId="0" fontId="19" fillId="7" borderId="19" xfId="0" applyFont="1" applyFill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19" fillId="16" borderId="19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9" fillId="13" borderId="1" xfId="0" applyFont="1" applyFill="1" applyBorder="1" applyAlignment="1">
      <alignment horizontal="center" vertical="center"/>
    </xf>
    <xf numFmtId="0" fontId="19" fillId="13" borderId="18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21" fillId="15" borderId="1" xfId="0" applyFont="1" applyFill="1" applyBorder="1" applyAlignment="1">
      <alignment vertical="center"/>
    </xf>
    <xf numFmtId="0" fontId="21" fillId="17" borderId="1" xfId="0" applyFont="1" applyFill="1" applyBorder="1" applyAlignment="1">
      <alignment vertical="center"/>
    </xf>
    <xf numFmtId="0" fontId="21" fillId="18" borderId="1" xfId="0" applyFont="1" applyFill="1" applyBorder="1" applyAlignment="1">
      <alignment vertical="center"/>
    </xf>
    <xf numFmtId="0" fontId="21" fillId="19" borderId="1" xfId="0" applyFont="1" applyFill="1" applyBorder="1" applyAlignment="1">
      <alignment vertical="center"/>
    </xf>
    <xf numFmtId="0" fontId="21" fillId="20" borderId="1" xfId="0" applyFont="1" applyFill="1" applyBorder="1" applyAlignment="1">
      <alignment vertical="center"/>
    </xf>
    <xf numFmtId="0" fontId="21" fillId="21" borderId="1" xfId="0" applyFont="1" applyFill="1" applyBorder="1" applyAlignment="1">
      <alignment vertical="center"/>
    </xf>
    <xf numFmtId="0" fontId="19" fillId="16" borderId="17" xfId="0" applyFont="1" applyFill="1" applyBorder="1" applyAlignment="1">
      <alignment horizontal="center" vertical="center"/>
    </xf>
    <xf numFmtId="0" fontId="19" fillId="16" borderId="18" xfId="0" applyFont="1" applyFill="1" applyBorder="1" applyAlignment="1">
      <alignment horizontal="center" vertical="center"/>
    </xf>
    <xf numFmtId="165" fontId="6" fillId="0" borderId="0" xfId="0" applyNumberFormat="1" applyFont="1"/>
    <xf numFmtId="0" fontId="7" fillId="0" borderId="0" xfId="0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5" fontId="1" fillId="10" borderId="1" xfId="0" applyNumberFormat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5" fontId="23" fillId="0" borderId="1" xfId="0" applyNumberFormat="1" applyFont="1" applyBorder="1" applyAlignment="1">
      <alignment vertical="center" wrapText="1"/>
    </xf>
    <xf numFmtId="165" fontId="23" fillId="0" borderId="1" xfId="0" applyNumberFormat="1" applyFont="1" applyBorder="1" applyAlignment="1">
      <alignment vertical="center"/>
    </xf>
    <xf numFmtId="165" fontId="7" fillId="0" borderId="1" xfId="0" applyNumberFormat="1" applyFont="1" applyBorder="1" applyAlignment="1">
      <alignment horizontal="center" vertical="center" wrapText="1"/>
    </xf>
    <xf numFmtId="165" fontId="21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21" fillId="2" borderId="1" xfId="0" applyFont="1" applyFill="1" applyBorder="1"/>
    <xf numFmtId="0" fontId="25" fillId="0" borderId="0" xfId="0" applyFont="1" applyAlignment="1">
      <alignment horizontal="center" vertical="center" wrapText="1"/>
    </xf>
    <xf numFmtId="0" fontId="24" fillId="24" borderId="26" xfId="0" applyFont="1" applyFill="1" applyBorder="1" applyAlignment="1">
      <alignment horizontal="center" vertical="center" wrapText="1"/>
    </xf>
    <xf numFmtId="0" fontId="26" fillId="25" borderId="26" xfId="0" applyFont="1" applyFill="1" applyBorder="1" applyAlignment="1">
      <alignment horizontal="center" vertical="center" wrapText="1"/>
    </xf>
    <xf numFmtId="0" fontId="27" fillId="25" borderId="26" xfId="0" applyFont="1" applyFill="1" applyBorder="1" applyAlignment="1">
      <alignment horizontal="center" vertical="center" wrapText="1"/>
    </xf>
    <xf numFmtId="0" fontId="26" fillId="25" borderId="26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28" fillId="25" borderId="26" xfId="0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6" fillId="25" borderId="28" xfId="0" applyFont="1" applyFill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27" fillId="25" borderId="28" xfId="0" applyFont="1" applyFill="1" applyBorder="1" applyAlignment="1">
      <alignment horizontal="center" vertical="center" wrapText="1"/>
    </xf>
    <xf numFmtId="0" fontId="27" fillId="25" borderId="33" xfId="0" applyFont="1" applyFill="1" applyBorder="1" applyAlignment="1">
      <alignment horizontal="center" vertical="center" wrapText="1"/>
    </xf>
    <xf numFmtId="0" fontId="30" fillId="25" borderId="28" xfId="0" applyFont="1" applyFill="1" applyBorder="1" applyAlignment="1">
      <alignment horizontal="center" vertical="center" wrapText="1"/>
    </xf>
    <xf numFmtId="0" fontId="31" fillId="24" borderId="29" xfId="0" applyFont="1" applyFill="1" applyBorder="1" applyAlignment="1">
      <alignment horizontal="center" vertical="center" wrapText="1"/>
    </xf>
    <xf numFmtId="0" fontId="26" fillId="7" borderId="29" xfId="0" applyFont="1" applyFill="1" applyBorder="1" applyAlignment="1">
      <alignment horizontal="center" vertical="center" wrapText="1"/>
    </xf>
    <xf numFmtId="0" fontId="30" fillId="25" borderId="34" xfId="0" applyFont="1" applyFill="1" applyBorder="1" applyAlignment="1">
      <alignment horizontal="center" vertical="center" wrapText="1"/>
    </xf>
    <xf numFmtId="0" fontId="32" fillId="26" borderId="33" xfId="0" applyFont="1" applyFill="1" applyBorder="1" applyAlignment="1">
      <alignment horizontal="center" vertical="center" wrapText="1"/>
    </xf>
    <xf numFmtId="0" fontId="32" fillId="27" borderId="28" xfId="0" applyFont="1" applyFill="1" applyBorder="1" applyAlignment="1">
      <alignment horizontal="center" vertical="center" wrapText="1"/>
    </xf>
    <xf numFmtId="0" fontId="7" fillId="0" borderId="0" xfId="0" applyFont="1"/>
    <xf numFmtId="0" fontId="32" fillId="15" borderId="28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24" fillId="24" borderId="26" xfId="0" applyFont="1" applyFill="1" applyBorder="1" applyAlignment="1">
      <alignment horizontal="left" vertical="center" wrapText="1"/>
    </xf>
    <xf numFmtId="0" fontId="26" fillId="25" borderId="26" xfId="0" applyFont="1" applyFill="1" applyBorder="1" applyAlignment="1">
      <alignment horizontal="right" vertical="center"/>
    </xf>
    <xf numFmtId="0" fontId="26" fillId="25" borderId="26" xfId="0" applyFont="1" applyFill="1" applyBorder="1" applyAlignment="1">
      <alignment horizontal="right" vertical="center" wrapText="1"/>
    </xf>
    <xf numFmtId="0" fontId="34" fillId="25" borderId="28" xfId="0" applyFont="1" applyFill="1" applyBorder="1" applyAlignment="1">
      <alignment horizontal="center" vertical="center" wrapText="1"/>
    </xf>
    <xf numFmtId="0" fontId="34" fillId="25" borderId="36" xfId="0" applyFont="1" applyFill="1" applyBorder="1" applyAlignment="1">
      <alignment horizontal="center" vertical="center" wrapText="1"/>
    </xf>
    <xf numFmtId="0" fontId="35" fillId="25" borderId="28" xfId="0" applyFont="1" applyFill="1" applyBorder="1" applyAlignment="1">
      <alignment horizontal="center" vertical="center" wrapText="1"/>
    </xf>
    <xf numFmtId="0" fontId="32" fillId="24" borderId="33" xfId="0" applyFont="1" applyFill="1" applyBorder="1" applyAlignment="1">
      <alignment horizontal="center" vertical="center" wrapText="1"/>
    </xf>
    <xf numFmtId="0" fontId="32" fillId="28" borderId="33" xfId="0" applyFont="1" applyFill="1" applyBorder="1" applyAlignment="1">
      <alignment horizontal="center" vertical="center" wrapText="1"/>
    </xf>
    <xf numFmtId="0" fontId="32" fillId="29" borderId="33" xfId="0" applyFont="1" applyFill="1" applyBorder="1" applyAlignment="1">
      <alignment horizontal="center" vertical="center" wrapText="1"/>
    </xf>
    <xf numFmtId="0" fontId="32" fillId="30" borderId="33" xfId="0" applyFont="1" applyFill="1" applyBorder="1" applyAlignment="1">
      <alignment horizontal="center" vertical="center" wrapText="1"/>
    </xf>
    <xf numFmtId="0" fontId="34" fillId="31" borderId="33" xfId="0" applyFont="1" applyFill="1" applyBorder="1" applyAlignment="1">
      <alignment horizontal="center" vertical="center" wrapText="1"/>
    </xf>
    <xf numFmtId="0" fontId="35" fillId="31" borderId="33" xfId="0" applyFont="1" applyFill="1" applyBorder="1" applyAlignment="1">
      <alignment horizontal="center" vertical="center" wrapText="1"/>
    </xf>
    <xf numFmtId="0" fontId="36" fillId="25" borderId="34" xfId="0" applyFont="1" applyFill="1" applyBorder="1" applyAlignment="1">
      <alignment horizontal="center" vertical="center" wrapText="1"/>
    </xf>
    <xf numFmtId="0" fontId="35" fillId="25" borderId="34" xfId="0" applyFont="1" applyFill="1" applyBorder="1" applyAlignment="1">
      <alignment horizontal="center" vertical="center" wrapText="1"/>
    </xf>
    <xf numFmtId="0" fontId="32" fillId="24" borderId="37" xfId="0" applyFont="1" applyFill="1" applyBorder="1" applyAlignment="1">
      <alignment horizontal="center" vertical="center" wrapText="1"/>
    </xf>
    <xf numFmtId="0" fontId="37" fillId="24" borderId="33" xfId="0" applyFont="1" applyFill="1" applyBorder="1" applyAlignment="1">
      <alignment vertical="center"/>
    </xf>
    <xf numFmtId="0" fontId="36" fillId="25" borderId="28" xfId="0" applyFont="1" applyFill="1" applyBorder="1" applyAlignment="1">
      <alignment horizontal="center" vertical="center" wrapText="1"/>
    </xf>
    <xf numFmtId="0" fontId="35" fillId="25" borderId="27" xfId="0" applyFont="1" applyFill="1" applyBorder="1" applyAlignment="1">
      <alignment horizontal="center" vertical="center" wrapText="1"/>
    </xf>
    <xf numFmtId="0" fontId="34" fillId="24" borderId="38" xfId="0" applyFont="1" applyFill="1" applyBorder="1" applyAlignment="1">
      <alignment horizontal="center" vertical="center" wrapText="1"/>
    </xf>
    <xf numFmtId="0" fontId="35" fillId="25" borderId="39" xfId="0" applyFont="1" applyFill="1" applyBorder="1" applyAlignment="1">
      <alignment horizontal="center" vertical="center" wrapText="1"/>
    </xf>
    <xf numFmtId="0" fontId="35" fillId="25" borderId="40" xfId="0" applyFont="1" applyFill="1" applyBorder="1" applyAlignment="1">
      <alignment horizontal="center" vertical="center" wrapText="1"/>
    </xf>
    <xf numFmtId="0" fontId="35" fillId="6" borderId="26" xfId="0" applyFont="1" applyFill="1" applyBorder="1" applyAlignment="1">
      <alignment horizontal="center" vertical="center" wrapText="1"/>
    </xf>
    <xf numFmtId="0" fontId="32" fillId="24" borderId="41" xfId="0" applyFont="1" applyFill="1" applyBorder="1" applyAlignment="1">
      <alignment horizontal="center" vertical="center" wrapText="1"/>
    </xf>
    <xf numFmtId="0" fontId="32" fillId="24" borderId="42" xfId="0" applyFont="1" applyFill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/>
    </xf>
    <xf numFmtId="0" fontId="30" fillId="25" borderId="39" xfId="0" applyFont="1" applyFill="1" applyBorder="1" applyAlignment="1">
      <alignment horizontal="center" vertical="center" wrapText="1"/>
    </xf>
    <xf numFmtId="0" fontId="27" fillId="24" borderId="28" xfId="0" applyFont="1" applyFill="1" applyBorder="1" applyAlignment="1">
      <alignment horizontal="center" vertical="center" wrapText="1"/>
    </xf>
    <xf numFmtId="0" fontId="27" fillId="24" borderId="33" xfId="0" applyFont="1" applyFill="1" applyBorder="1" applyAlignment="1">
      <alignment horizontal="center" vertical="center" wrapText="1"/>
    </xf>
    <xf numFmtId="0" fontId="27" fillId="32" borderId="26" xfId="0" applyFont="1" applyFill="1" applyBorder="1" applyAlignment="1">
      <alignment horizontal="center" vertical="center" wrapText="1"/>
    </xf>
    <xf numFmtId="0" fontId="24" fillId="32" borderId="26" xfId="0" applyFont="1" applyFill="1" applyBorder="1" applyAlignment="1">
      <alignment horizontal="center" vertical="center" wrapText="1"/>
    </xf>
    <xf numFmtId="0" fontId="39" fillId="24" borderId="28" xfId="0" applyFont="1" applyFill="1" applyBorder="1" applyAlignment="1">
      <alignment horizontal="center" vertical="center" wrapText="1"/>
    </xf>
    <xf numFmtId="0" fontId="24" fillId="28" borderId="33" xfId="0" applyFont="1" applyFill="1" applyBorder="1" applyAlignment="1">
      <alignment horizontal="center" vertical="center" wrapText="1"/>
    </xf>
    <xf numFmtId="0" fontId="24" fillId="29" borderId="33" xfId="0" applyFont="1" applyFill="1" applyBorder="1" applyAlignment="1">
      <alignment horizontal="center" vertical="center" wrapText="1"/>
    </xf>
    <xf numFmtId="0" fontId="24" fillId="30" borderId="33" xfId="0" applyFont="1" applyFill="1" applyBorder="1" applyAlignment="1">
      <alignment horizontal="center" vertical="center" wrapText="1"/>
    </xf>
    <xf numFmtId="0" fontId="26" fillId="31" borderId="33" xfId="0" applyFont="1" applyFill="1" applyBorder="1" applyAlignment="1">
      <alignment horizontal="center" vertical="center" wrapText="1"/>
    </xf>
    <xf numFmtId="0" fontId="24" fillId="24" borderId="33" xfId="0" applyFont="1" applyFill="1" applyBorder="1" applyAlignment="1">
      <alignment horizontal="center" vertical="center" wrapText="1"/>
    </xf>
    <xf numFmtId="0" fontId="24" fillId="24" borderId="37" xfId="0" applyFont="1" applyFill="1" applyBorder="1" applyAlignment="1">
      <alignment horizontal="center" vertical="center" wrapText="1"/>
    </xf>
    <xf numFmtId="0" fontId="24" fillId="24" borderId="28" xfId="0" applyFont="1" applyFill="1" applyBorder="1" applyAlignment="1">
      <alignment horizontal="center" vertical="center" wrapText="1"/>
    </xf>
    <xf numFmtId="0" fontId="25" fillId="8" borderId="33" xfId="0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0" fontId="26" fillId="7" borderId="27" xfId="0" applyFont="1" applyFill="1" applyBorder="1" applyAlignment="1">
      <alignment horizontal="center" vertical="center" wrapText="1"/>
    </xf>
    <xf numFmtId="0" fontId="24" fillId="24" borderId="44" xfId="0" applyFont="1" applyFill="1" applyBorder="1" applyAlignment="1">
      <alignment horizontal="center" vertical="center" wrapText="1"/>
    </xf>
    <xf numFmtId="0" fontId="30" fillId="24" borderId="28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/>
    </xf>
    <xf numFmtId="0" fontId="40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41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45" xfId="0" applyFont="1" applyFill="1" applyBorder="1" applyAlignment="1">
      <alignment horizontal="center"/>
    </xf>
    <xf numFmtId="0" fontId="8" fillId="2" borderId="16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8" borderId="16" xfId="0" applyFont="1" applyFill="1" applyBorder="1" applyAlignment="1">
      <alignment horizontal="center"/>
    </xf>
    <xf numFmtId="0" fontId="8" fillId="8" borderId="46" xfId="0" applyFont="1" applyFill="1" applyBorder="1" applyAlignment="1">
      <alignment horizontal="center"/>
    </xf>
    <xf numFmtId="0" fontId="8" fillId="8" borderId="45" xfId="0" applyFont="1" applyFill="1" applyBorder="1" applyAlignment="1">
      <alignment horizontal="center"/>
    </xf>
    <xf numFmtId="0" fontId="42" fillId="13" borderId="46" xfId="0" applyFont="1" applyFill="1" applyBorder="1" applyAlignment="1">
      <alignment horizontal="center"/>
    </xf>
    <xf numFmtId="0" fontId="8" fillId="2" borderId="47" xfId="0" applyFont="1" applyFill="1" applyBorder="1" applyAlignment="1">
      <alignment horizontal="center"/>
    </xf>
    <xf numFmtId="0" fontId="42" fillId="13" borderId="48" xfId="0" applyFont="1" applyFill="1" applyBorder="1" applyAlignment="1">
      <alignment horizontal="center"/>
    </xf>
    <xf numFmtId="0" fontId="8" fillId="0" borderId="0" xfId="0" applyFont="1"/>
    <xf numFmtId="0" fontId="8" fillId="2" borderId="49" xfId="0" applyFont="1" applyFill="1" applyBorder="1" applyAlignment="1">
      <alignment horizontal="center"/>
    </xf>
    <xf numFmtId="0" fontId="42" fillId="13" borderId="50" xfId="0" applyFont="1" applyFill="1" applyBorder="1" applyAlignment="1">
      <alignment horizontal="center"/>
    </xf>
    <xf numFmtId="0" fontId="42" fillId="13" borderId="51" xfId="0" applyFont="1" applyFill="1" applyBorder="1" applyAlignment="1">
      <alignment horizontal="center"/>
    </xf>
    <xf numFmtId="0" fontId="42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8" fillId="13" borderId="48" xfId="0" applyFont="1" applyFill="1" applyBorder="1" applyAlignment="1">
      <alignment horizontal="center"/>
    </xf>
    <xf numFmtId="0" fontId="8" fillId="13" borderId="50" xfId="0" applyFont="1" applyFill="1" applyBorder="1" applyAlignment="1">
      <alignment horizontal="center"/>
    </xf>
    <xf numFmtId="0" fontId="8" fillId="2" borderId="52" xfId="0" applyFont="1" applyFill="1" applyBorder="1" applyAlignment="1">
      <alignment horizontal="center"/>
    </xf>
    <xf numFmtId="0" fontId="41" fillId="8" borderId="0" xfId="0" applyFont="1" applyFill="1" applyAlignment="1">
      <alignment horizontal="left"/>
    </xf>
    <xf numFmtId="0" fontId="6" fillId="0" borderId="0" xfId="0" applyFont="1" applyAlignment="1">
      <alignment horizontal="center"/>
    </xf>
    <xf numFmtId="0" fontId="40" fillId="33" borderId="0" xfId="0" applyFont="1" applyFill="1"/>
    <xf numFmtId="0" fontId="6" fillId="33" borderId="0" xfId="0" applyFont="1" applyFill="1"/>
    <xf numFmtId="0" fontId="40" fillId="33" borderId="0" xfId="0" applyFont="1" applyFill="1" applyAlignment="1">
      <alignment horizontal="center"/>
    </xf>
    <xf numFmtId="0" fontId="6" fillId="33" borderId="0" xfId="0" applyFont="1" applyFill="1" applyAlignment="1">
      <alignment horizontal="center"/>
    </xf>
    <xf numFmtId="0" fontId="43" fillId="33" borderId="0" xfId="0" applyFont="1" applyFill="1" applyAlignment="1">
      <alignment horizontal="center"/>
    </xf>
    <xf numFmtId="0" fontId="40" fillId="20" borderId="0" xfId="0" applyFont="1" applyFill="1"/>
    <xf numFmtId="0" fontId="6" fillId="20" borderId="0" xfId="0" applyFont="1" applyFill="1"/>
    <xf numFmtId="0" fontId="40" fillId="20" borderId="0" xfId="0" applyFont="1" applyFill="1" applyAlignment="1">
      <alignment horizontal="center"/>
    </xf>
    <xf numFmtId="0" fontId="43" fillId="20" borderId="0" xfId="0" applyFont="1" applyFill="1" applyAlignment="1">
      <alignment horizontal="center"/>
    </xf>
    <xf numFmtId="0" fontId="40" fillId="28" borderId="0" xfId="0" applyFont="1" applyFill="1"/>
    <xf numFmtId="0" fontId="6" fillId="28" borderId="0" xfId="0" applyFont="1" applyFill="1"/>
    <xf numFmtId="0" fontId="40" fillId="28" borderId="0" xfId="0" applyFont="1" applyFill="1" applyAlignment="1">
      <alignment horizontal="center"/>
    </xf>
    <xf numFmtId="0" fontId="6" fillId="28" borderId="0" xfId="0" applyFont="1" applyFill="1" applyAlignment="1">
      <alignment horizontal="center"/>
    </xf>
    <xf numFmtId="0" fontId="43" fillId="28" borderId="0" xfId="0" applyFont="1" applyFill="1" applyAlignment="1">
      <alignment horizontal="center"/>
    </xf>
    <xf numFmtId="17" fontId="7" fillId="0" borderId="0" xfId="0" applyNumberFormat="1" applyFont="1" applyAlignment="1">
      <alignment horizontal="center"/>
    </xf>
    <xf numFmtId="0" fontId="44" fillId="0" borderId="0" xfId="0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167" fontId="7" fillId="0" borderId="1" xfId="0" applyNumberFormat="1" applyFont="1" applyBorder="1" applyAlignment="1">
      <alignment horizontal="center" vertical="center" wrapText="1"/>
    </xf>
    <xf numFmtId="167" fontId="2" fillId="0" borderId="1" xfId="0" applyNumberFormat="1" applyFont="1" applyBorder="1" applyAlignment="1">
      <alignment horizontal="center" vertical="center" wrapText="1"/>
    </xf>
    <xf numFmtId="0" fontId="7" fillId="35" borderId="1" xfId="0" applyFont="1" applyFill="1" applyBorder="1"/>
    <xf numFmtId="0" fontId="20" fillId="34" borderId="1" xfId="0" applyFont="1" applyFill="1" applyBorder="1"/>
    <xf numFmtId="0" fontId="20" fillId="34" borderId="1" xfId="0" applyFont="1" applyFill="1" applyBorder="1" applyAlignment="1">
      <alignment horizontal="center"/>
    </xf>
    <xf numFmtId="0" fontId="20" fillId="36" borderId="1" xfId="0" applyFont="1" applyFill="1" applyBorder="1"/>
    <xf numFmtId="0" fontId="20" fillId="36" borderId="1" xfId="0" applyFont="1" applyFill="1" applyBorder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17" fontId="7" fillId="0" borderId="1" xfId="0" applyNumberFormat="1" applyFont="1" applyBorder="1"/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7" fillId="35" borderId="53" xfId="0" applyFont="1" applyFill="1" applyBorder="1"/>
    <xf numFmtId="0" fontId="7" fillId="0" borderId="0" xfId="0" applyFont="1" applyAlignment="1">
      <alignment horizontal="center"/>
    </xf>
    <xf numFmtId="0" fontId="7" fillId="35" borderId="26" xfId="0" applyFont="1" applyFill="1" applyBorder="1"/>
    <xf numFmtId="0" fontId="22" fillId="22" borderId="20" xfId="0" applyFont="1" applyFill="1" applyBorder="1" applyAlignment="1">
      <alignment horizontal="center" vertical="center"/>
    </xf>
    <xf numFmtId="0" fontId="11" fillId="0" borderId="21" xfId="0" applyFont="1" applyBorder="1"/>
    <xf numFmtId="0" fontId="13" fillId="23" borderId="23" xfId="0" applyFont="1" applyFill="1" applyBorder="1" applyAlignment="1">
      <alignment horizontal="center" vertical="center"/>
    </xf>
    <xf numFmtId="0" fontId="11" fillId="0" borderId="23" xfId="0" applyFont="1" applyBorder="1"/>
    <xf numFmtId="0" fontId="11" fillId="0" borderId="16" xfId="0" applyFont="1" applyBorder="1"/>
    <xf numFmtId="0" fontId="10" fillId="0" borderId="2" xfId="0" applyFont="1" applyBorder="1" applyAlignment="1">
      <alignment horizontal="center" vertical="center"/>
    </xf>
    <xf numFmtId="0" fontId="11" fillId="0" borderId="3" xfId="0" applyFont="1" applyBorder="1"/>
    <xf numFmtId="0" fontId="14" fillId="0" borderId="6" xfId="0" applyFont="1" applyBorder="1" applyAlignment="1">
      <alignment horizontal="center" vertical="center"/>
    </xf>
    <xf numFmtId="0" fontId="11" fillId="0" borderId="7" xfId="0" applyFont="1" applyBorder="1"/>
    <xf numFmtId="0" fontId="11" fillId="0" borderId="8" xfId="0" applyFont="1" applyBorder="1"/>
    <xf numFmtId="0" fontId="18" fillId="0" borderId="2" xfId="0" applyFont="1" applyBorder="1" applyAlignment="1">
      <alignment horizontal="center" vertical="center"/>
    </xf>
    <xf numFmtId="0" fontId="11" fillId="0" borderId="12" xfId="0" applyFont="1" applyBorder="1"/>
    <xf numFmtId="0" fontId="24" fillId="24" borderId="24" xfId="0" applyFont="1" applyFill="1" applyBorder="1" applyAlignment="1">
      <alignment horizontal="center" vertical="center" wrapText="1"/>
    </xf>
    <xf numFmtId="0" fontId="11" fillId="0" borderId="25" xfId="0" applyFont="1" applyBorder="1"/>
    <xf numFmtId="0" fontId="26" fillId="25" borderId="27" xfId="0" applyFont="1" applyFill="1" applyBorder="1" applyAlignment="1">
      <alignment horizontal="center" vertical="center" wrapText="1"/>
    </xf>
    <xf numFmtId="0" fontId="11" fillId="0" borderId="29" xfId="0" applyFont="1" applyBorder="1"/>
    <xf numFmtId="17" fontId="26" fillId="25" borderId="27" xfId="0" applyNumberFormat="1" applyFont="1" applyFill="1" applyBorder="1" applyAlignment="1">
      <alignment horizontal="center" vertical="center" wrapText="1"/>
    </xf>
    <xf numFmtId="17" fontId="26" fillId="25" borderId="30" xfId="0" applyNumberFormat="1" applyFont="1" applyFill="1" applyBorder="1" applyAlignment="1">
      <alignment horizontal="center" vertical="center" wrapText="1"/>
    </xf>
    <xf numFmtId="0" fontId="11" fillId="0" borderId="31" xfId="0" applyFont="1" applyBorder="1"/>
    <xf numFmtId="0" fontId="11" fillId="0" borderId="32" xfId="0" applyFont="1" applyBorder="1"/>
    <xf numFmtId="0" fontId="24" fillId="24" borderId="24" xfId="0" applyFont="1" applyFill="1" applyBorder="1" applyAlignment="1">
      <alignment horizontal="left" vertical="center" wrapText="1"/>
    </xf>
    <xf numFmtId="0" fontId="34" fillId="25" borderId="27" xfId="0" applyFont="1" applyFill="1" applyBorder="1" applyAlignment="1">
      <alignment horizontal="center" vertical="center" wrapText="1"/>
    </xf>
    <xf numFmtId="0" fontId="11" fillId="0" borderId="35" xfId="0" applyFont="1" applyBorder="1"/>
    <xf numFmtId="17" fontId="34" fillId="25" borderId="27" xfId="0" applyNumberFormat="1" applyFont="1" applyFill="1" applyBorder="1" applyAlignment="1">
      <alignment horizontal="center" vertical="center" wrapText="1"/>
    </xf>
    <xf numFmtId="17" fontId="34" fillId="25" borderId="30" xfId="0" applyNumberFormat="1" applyFont="1" applyFill="1" applyBorder="1" applyAlignment="1">
      <alignment horizontal="center" vertical="center" wrapText="1"/>
    </xf>
    <xf numFmtId="0" fontId="25" fillId="2" borderId="37" xfId="0" applyFont="1" applyFill="1" applyBorder="1" applyAlignment="1">
      <alignment horizontal="center" vertical="center" wrapText="1"/>
    </xf>
    <xf numFmtId="0" fontId="11" fillId="0" borderId="43" xfId="0" applyFont="1" applyBorder="1"/>
    <xf numFmtId="0" fontId="40" fillId="0" borderId="0" xfId="0" applyFont="1" applyAlignment="1">
      <alignment horizontal="center"/>
    </xf>
    <xf numFmtId="0" fontId="0" fillId="0" borderId="0" xfId="0"/>
    <xf numFmtId="0" fontId="20" fillId="34" borderId="20" xfId="0" applyFont="1" applyFill="1" applyBorder="1" applyAlignment="1">
      <alignment horizontal="center"/>
    </xf>
    <xf numFmtId="0" fontId="11" fillId="0" borderId="47" xfId="0" applyFont="1" applyBorder="1"/>
    <xf numFmtId="0" fontId="11" fillId="0" borderId="45" xfId="0" applyFont="1" applyBorder="1"/>
    <xf numFmtId="0" fontId="20" fillId="36" borderId="20" xfId="0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1933575</xdr:colOff>
      <xdr:row>0</xdr:row>
      <xdr:rowOff>28575</xdr:rowOff>
    </xdr:from>
    <xdr:ext cx="981075" cy="9048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rgb="FFBF4F14"/>
  </sheetPr>
  <dimension ref="A1:AH1016"/>
  <sheetViews>
    <sheetView workbookViewId="0">
      <selection activeCell="E1018" sqref="E1018"/>
    </sheetView>
  </sheetViews>
  <sheetFormatPr defaultColWidth="12.6640625" defaultRowHeight="15" customHeight="1"/>
  <cols>
    <col min="1" max="1" width="4.33203125" customWidth="1"/>
    <col min="2" max="3" width="5.88671875" customWidth="1"/>
    <col min="4" max="4" width="7.88671875" customWidth="1"/>
    <col min="5" max="5" width="51" customWidth="1"/>
    <col min="6" max="6" width="6.21875" customWidth="1"/>
    <col min="7" max="7" width="12.33203125" customWidth="1"/>
    <col min="8" max="8" width="7.33203125" customWidth="1"/>
    <col min="9" max="9" width="19.6640625" customWidth="1"/>
    <col min="10" max="10" width="12.21875" customWidth="1"/>
    <col min="11" max="11" width="23.88671875" customWidth="1"/>
    <col min="12" max="12" width="33.109375" customWidth="1"/>
    <col min="13" max="14" width="9" customWidth="1"/>
    <col min="15" max="15" width="10.77734375" customWidth="1"/>
    <col min="16" max="17" width="9.33203125" customWidth="1"/>
    <col min="18" max="18" width="12.44140625" customWidth="1"/>
    <col min="19" max="19" width="18.109375" customWidth="1"/>
    <col min="20" max="20" width="74" customWidth="1"/>
    <col min="21" max="34" width="8.6640625" customWidth="1"/>
  </cols>
  <sheetData>
    <row r="1" spans="1:34" ht="33.75" customHeight="1">
      <c r="A1" s="1" t="s">
        <v>0</v>
      </c>
      <c r="B1" s="1" t="s">
        <v>1</v>
      </c>
      <c r="C1" s="1" t="s">
        <v>676</v>
      </c>
      <c r="D1" s="2" t="s">
        <v>2</v>
      </c>
      <c r="E1" s="2" t="s">
        <v>3</v>
      </c>
      <c r="F1" s="1" t="s">
        <v>4</v>
      </c>
      <c r="G1" s="2" t="s">
        <v>5</v>
      </c>
      <c r="H1" s="1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1" t="s">
        <v>11</v>
      </c>
      <c r="N1" s="1" t="s">
        <v>12</v>
      </c>
      <c r="O1" s="1" t="s">
        <v>13</v>
      </c>
      <c r="P1" s="1" t="s">
        <v>11</v>
      </c>
      <c r="Q1" s="1" t="s">
        <v>12</v>
      </c>
      <c r="R1" s="1" t="s">
        <v>14</v>
      </c>
      <c r="S1" s="3"/>
      <c r="T1" s="4">
        <f>SUM(M1:N1,P1:Q1)</f>
        <v>0</v>
      </c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</row>
    <row r="2" spans="1:34" ht="27.6" hidden="1">
      <c r="A2" s="6">
        <v>1</v>
      </c>
      <c r="B2" s="7" t="s">
        <v>15</v>
      </c>
      <c r="C2" s="7" t="s">
        <v>414</v>
      </c>
      <c r="D2" s="8" t="s">
        <v>16</v>
      </c>
      <c r="E2" s="8" t="s">
        <v>17</v>
      </c>
      <c r="F2" s="6" t="s">
        <v>18</v>
      </c>
      <c r="G2" s="9" t="s">
        <v>19</v>
      </c>
      <c r="H2" s="6">
        <v>1</v>
      </c>
      <c r="I2" s="9" t="s">
        <v>20</v>
      </c>
      <c r="J2" s="9" t="s">
        <v>21</v>
      </c>
      <c r="K2" s="9" t="s">
        <v>22</v>
      </c>
      <c r="L2" s="8" t="s">
        <v>23</v>
      </c>
      <c r="M2" s="10">
        <v>46200</v>
      </c>
      <c r="N2" s="11">
        <v>46201</v>
      </c>
      <c r="O2" s="11">
        <v>46201</v>
      </c>
      <c r="P2" s="11">
        <v>46207</v>
      </c>
      <c r="Q2" s="11">
        <v>46208</v>
      </c>
      <c r="R2" s="11">
        <v>46208</v>
      </c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</row>
    <row r="3" spans="1:34" ht="27.6" hidden="1">
      <c r="A3" s="6"/>
      <c r="B3" s="7" t="s">
        <v>15</v>
      </c>
      <c r="C3" s="7" t="s">
        <v>414</v>
      </c>
      <c r="D3" s="8" t="s">
        <v>16</v>
      </c>
      <c r="E3" s="8" t="s">
        <v>17</v>
      </c>
      <c r="F3" s="6" t="s">
        <v>18</v>
      </c>
      <c r="G3" s="9" t="s">
        <v>19</v>
      </c>
      <c r="H3" s="6">
        <v>1</v>
      </c>
      <c r="I3" s="9" t="s">
        <v>20</v>
      </c>
      <c r="J3" s="9" t="s">
        <v>21</v>
      </c>
      <c r="K3" s="9" t="s">
        <v>22</v>
      </c>
      <c r="L3" s="8" t="s">
        <v>24</v>
      </c>
      <c r="M3" s="10">
        <v>46200</v>
      </c>
      <c r="N3" s="11">
        <v>46201</v>
      </c>
      <c r="O3" s="11">
        <v>46201</v>
      </c>
      <c r="P3" s="11">
        <v>46207</v>
      </c>
      <c r="Q3" s="11">
        <v>46208</v>
      </c>
      <c r="R3" s="11">
        <v>46208</v>
      </c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1:34" ht="27.6" hidden="1">
      <c r="A4" s="6">
        <v>2</v>
      </c>
      <c r="B4" s="7" t="s">
        <v>15</v>
      </c>
      <c r="C4" s="7" t="s">
        <v>414</v>
      </c>
      <c r="D4" s="8" t="s">
        <v>16</v>
      </c>
      <c r="E4" s="8" t="s">
        <v>17</v>
      </c>
      <c r="F4" s="6" t="s">
        <v>18</v>
      </c>
      <c r="G4" s="9" t="s">
        <v>25</v>
      </c>
      <c r="H4" s="6">
        <v>1</v>
      </c>
      <c r="I4" s="9" t="s">
        <v>20</v>
      </c>
      <c r="J4" s="9" t="s">
        <v>21</v>
      </c>
      <c r="K4" s="9" t="s">
        <v>22</v>
      </c>
      <c r="L4" s="8"/>
      <c r="M4" s="10">
        <v>46200</v>
      </c>
      <c r="N4" s="11">
        <v>46201</v>
      </c>
      <c r="O4" s="11">
        <v>46201</v>
      </c>
      <c r="P4" s="11">
        <v>46207</v>
      </c>
      <c r="Q4" s="11">
        <v>46208</v>
      </c>
      <c r="R4" s="11">
        <v>46208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1:34" ht="27.6" hidden="1">
      <c r="A5" s="6">
        <v>3</v>
      </c>
      <c r="B5" s="6" t="s">
        <v>15</v>
      </c>
      <c r="C5" s="7" t="s">
        <v>414</v>
      </c>
      <c r="D5" s="9" t="s">
        <v>16</v>
      </c>
      <c r="E5" s="9" t="s">
        <v>17</v>
      </c>
      <c r="F5" s="6" t="s">
        <v>18</v>
      </c>
      <c r="G5" s="9" t="s">
        <v>26</v>
      </c>
      <c r="H5" s="6">
        <v>1</v>
      </c>
      <c r="I5" s="9" t="s">
        <v>27</v>
      </c>
      <c r="J5" s="9" t="s">
        <v>21</v>
      </c>
      <c r="K5" s="9" t="s">
        <v>22</v>
      </c>
      <c r="L5" s="12" t="s">
        <v>23</v>
      </c>
      <c r="M5" s="10">
        <v>46200</v>
      </c>
      <c r="N5" s="11">
        <v>46201</v>
      </c>
      <c r="O5" s="11">
        <v>46201</v>
      </c>
      <c r="P5" s="11">
        <v>46207</v>
      </c>
      <c r="Q5" s="11">
        <v>46208</v>
      </c>
      <c r="R5" s="11">
        <v>46208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</row>
    <row r="6" spans="1:34" ht="27.6" hidden="1">
      <c r="A6" s="6">
        <v>3</v>
      </c>
      <c r="B6" s="6" t="s">
        <v>15</v>
      </c>
      <c r="C6" s="7" t="s">
        <v>414</v>
      </c>
      <c r="D6" s="9" t="s">
        <v>16</v>
      </c>
      <c r="E6" s="9" t="s">
        <v>17</v>
      </c>
      <c r="F6" s="6" t="s">
        <v>18</v>
      </c>
      <c r="G6" s="9" t="s">
        <v>26</v>
      </c>
      <c r="H6" s="6">
        <v>1</v>
      </c>
      <c r="I6" s="9" t="s">
        <v>27</v>
      </c>
      <c r="J6" s="9" t="s">
        <v>21</v>
      </c>
      <c r="K6" s="9" t="s">
        <v>22</v>
      </c>
      <c r="L6" s="12" t="s">
        <v>24</v>
      </c>
      <c r="M6" s="10">
        <v>46200</v>
      </c>
      <c r="N6" s="11">
        <v>46201</v>
      </c>
      <c r="O6" s="11">
        <v>46201</v>
      </c>
      <c r="P6" s="11">
        <v>46207</v>
      </c>
      <c r="Q6" s="11">
        <v>46208</v>
      </c>
      <c r="R6" s="11">
        <v>46208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</row>
    <row r="7" spans="1:34" ht="27.6" hidden="1">
      <c r="A7" s="6">
        <v>4</v>
      </c>
      <c r="B7" s="6" t="s">
        <v>15</v>
      </c>
      <c r="C7" s="7" t="s">
        <v>414</v>
      </c>
      <c r="D7" s="9" t="s">
        <v>16</v>
      </c>
      <c r="E7" s="9" t="s">
        <v>17</v>
      </c>
      <c r="F7" s="6" t="s">
        <v>18</v>
      </c>
      <c r="G7" s="9" t="s">
        <v>28</v>
      </c>
      <c r="H7" s="6">
        <v>1</v>
      </c>
      <c r="I7" s="9" t="s">
        <v>29</v>
      </c>
      <c r="J7" s="9" t="s">
        <v>21</v>
      </c>
      <c r="K7" s="9" t="s">
        <v>22</v>
      </c>
      <c r="L7" s="12" t="s">
        <v>30</v>
      </c>
      <c r="M7" s="10">
        <v>46200</v>
      </c>
      <c r="N7" s="11">
        <v>46201</v>
      </c>
      <c r="O7" s="11">
        <v>46201</v>
      </c>
      <c r="P7" s="11">
        <v>46207</v>
      </c>
      <c r="Q7" s="11">
        <v>46208</v>
      </c>
      <c r="R7" s="11">
        <v>46208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</row>
    <row r="8" spans="1:34" ht="27.6" hidden="1">
      <c r="A8" s="6">
        <v>5</v>
      </c>
      <c r="B8" s="6" t="s">
        <v>15</v>
      </c>
      <c r="C8" s="7" t="s">
        <v>414</v>
      </c>
      <c r="D8" s="9" t="s">
        <v>16</v>
      </c>
      <c r="E8" s="9" t="s">
        <v>17</v>
      </c>
      <c r="F8" s="6" t="s">
        <v>18</v>
      </c>
      <c r="G8" s="9" t="s">
        <v>31</v>
      </c>
      <c r="H8" s="6">
        <v>1</v>
      </c>
      <c r="I8" s="9" t="s">
        <v>32</v>
      </c>
      <c r="J8" s="9" t="s">
        <v>21</v>
      </c>
      <c r="K8" s="9" t="s">
        <v>22</v>
      </c>
      <c r="L8" s="12" t="s">
        <v>24</v>
      </c>
      <c r="M8" s="10">
        <v>46200</v>
      </c>
      <c r="N8" s="11">
        <v>46201</v>
      </c>
      <c r="O8" s="11">
        <v>46201</v>
      </c>
      <c r="P8" s="11">
        <v>46207</v>
      </c>
      <c r="Q8" s="11">
        <v>46208</v>
      </c>
      <c r="R8" s="11">
        <v>46208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</row>
    <row r="9" spans="1:34" ht="27.6" hidden="1">
      <c r="A9" s="6"/>
      <c r="B9" s="6" t="s">
        <v>15</v>
      </c>
      <c r="C9" s="7" t="s">
        <v>414</v>
      </c>
      <c r="D9" s="9" t="s">
        <v>16</v>
      </c>
      <c r="E9" s="9" t="s">
        <v>17</v>
      </c>
      <c r="F9" s="6" t="s">
        <v>18</v>
      </c>
      <c r="G9" s="9" t="s">
        <v>31</v>
      </c>
      <c r="H9" s="6">
        <v>1</v>
      </c>
      <c r="I9" s="9" t="s">
        <v>32</v>
      </c>
      <c r="J9" s="9" t="s">
        <v>21</v>
      </c>
      <c r="K9" s="9" t="s">
        <v>22</v>
      </c>
      <c r="L9" s="12" t="s">
        <v>33</v>
      </c>
      <c r="M9" s="10">
        <v>46200</v>
      </c>
      <c r="N9" s="11">
        <v>46201</v>
      </c>
      <c r="O9" s="11">
        <v>46201</v>
      </c>
      <c r="P9" s="11">
        <v>46207</v>
      </c>
      <c r="Q9" s="11">
        <v>46208</v>
      </c>
      <c r="R9" s="11">
        <v>46208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</row>
    <row r="10" spans="1:34" ht="27.6" hidden="1">
      <c r="A10" s="6"/>
      <c r="B10" s="6" t="s">
        <v>15</v>
      </c>
      <c r="C10" s="7" t="s">
        <v>414</v>
      </c>
      <c r="D10" s="9" t="s">
        <v>16</v>
      </c>
      <c r="E10" s="9" t="s">
        <v>17</v>
      </c>
      <c r="F10" s="6" t="s">
        <v>18</v>
      </c>
      <c r="G10" s="9" t="s">
        <v>31</v>
      </c>
      <c r="H10" s="6">
        <v>1</v>
      </c>
      <c r="I10" s="9" t="s">
        <v>32</v>
      </c>
      <c r="J10" s="9" t="s">
        <v>21</v>
      </c>
      <c r="K10" s="9" t="s">
        <v>22</v>
      </c>
      <c r="L10" s="12" t="s">
        <v>34</v>
      </c>
      <c r="M10" s="10">
        <v>46200</v>
      </c>
      <c r="N10" s="11">
        <v>46201</v>
      </c>
      <c r="O10" s="11">
        <v>46201</v>
      </c>
      <c r="P10" s="11">
        <v>46207</v>
      </c>
      <c r="Q10" s="11">
        <v>46208</v>
      </c>
      <c r="R10" s="11">
        <v>46208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</row>
    <row r="11" spans="1:34" ht="27.6" hidden="1">
      <c r="A11" s="6">
        <v>6</v>
      </c>
      <c r="B11" s="7" t="s">
        <v>15</v>
      </c>
      <c r="C11" s="7" t="s">
        <v>414</v>
      </c>
      <c r="D11" s="8" t="s">
        <v>35</v>
      </c>
      <c r="E11" s="8" t="s">
        <v>36</v>
      </c>
      <c r="F11" s="6" t="s">
        <v>18</v>
      </c>
      <c r="G11" s="9" t="s">
        <v>19</v>
      </c>
      <c r="H11" s="6">
        <v>2</v>
      </c>
      <c r="I11" s="9" t="s">
        <v>20</v>
      </c>
      <c r="J11" s="9" t="s">
        <v>21</v>
      </c>
      <c r="K11" s="9" t="s">
        <v>22</v>
      </c>
      <c r="L11" s="8" t="s">
        <v>23</v>
      </c>
      <c r="M11" s="11">
        <v>46221</v>
      </c>
      <c r="N11" s="11">
        <v>46222</v>
      </c>
      <c r="O11" s="11">
        <v>46222</v>
      </c>
      <c r="P11" s="11">
        <v>46228</v>
      </c>
      <c r="Q11" s="11">
        <v>46229</v>
      </c>
      <c r="R11" s="11">
        <v>46229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</row>
    <row r="12" spans="1:34" ht="27.6" hidden="1">
      <c r="A12" s="6"/>
      <c r="B12" s="7" t="s">
        <v>15</v>
      </c>
      <c r="C12" s="7" t="s">
        <v>414</v>
      </c>
      <c r="D12" s="8" t="s">
        <v>35</v>
      </c>
      <c r="E12" s="8" t="s">
        <v>36</v>
      </c>
      <c r="F12" s="6" t="s">
        <v>18</v>
      </c>
      <c r="G12" s="9" t="s">
        <v>19</v>
      </c>
      <c r="H12" s="6">
        <v>2</v>
      </c>
      <c r="I12" s="9" t="s">
        <v>20</v>
      </c>
      <c r="J12" s="9" t="s">
        <v>21</v>
      </c>
      <c r="K12" s="9" t="s">
        <v>22</v>
      </c>
      <c r="L12" s="8" t="s">
        <v>37</v>
      </c>
      <c r="M12" s="11">
        <v>46221</v>
      </c>
      <c r="N12" s="11">
        <v>46222</v>
      </c>
      <c r="O12" s="11">
        <v>46222</v>
      </c>
      <c r="P12" s="11">
        <v>46228</v>
      </c>
      <c r="Q12" s="11">
        <v>46229</v>
      </c>
      <c r="R12" s="11">
        <v>46229</v>
      </c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</row>
    <row r="13" spans="1:34" ht="27.6" hidden="1">
      <c r="A13" s="6">
        <v>7</v>
      </c>
      <c r="B13" s="7" t="s">
        <v>15</v>
      </c>
      <c r="C13" s="7" t="s">
        <v>414</v>
      </c>
      <c r="D13" s="8" t="s">
        <v>35</v>
      </c>
      <c r="E13" s="8" t="s">
        <v>36</v>
      </c>
      <c r="F13" s="6" t="s">
        <v>18</v>
      </c>
      <c r="G13" s="9" t="s">
        <v>25</v>
      </c>
      <c r="H13" s="6">
        <v>2</v>
      </c>
      <c r="I13" s="9" t="s">
        <v>20</v>
      </c>
      <c r="J13" s="9" t="s">
        <v>21</v>
      </c>
      <c r="K13" s="9" t="s">
        <v>22</v>
      </c>
      <c r="L13" s="8"/>
      <c r="M13" s="11">
        <v>46221</v>
      </c>
      <c r="N13" s="11">
        <v>46222</v>
      </c>
      <c r="O13" s="11">
        <v>46222</v>
      </c>
      <c r="P13" s="11">
        <v>46228</v>
      </c>
      <c r="Q13" s="11">
        <v>46229</v>
      </c>
      <c r="R13" s="11">
        <v>46229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</row>
    <row r="14" spans="1:34" ht="27.6" hidden="1">
      <c r="A14" s="6">
        <v>8</v>
      </c>
      <c r="B14" s="6" t="s">
        <v>15</v>
      </c>
      <c r="C14" s="7" t="s">
        <v>414</v>
      </c>
      <c r="D14" s="9" t="s">
        <v>35</v>
      </c>
      <c r="E14" s="9" t="s">
        <v>36</v>
      </c>
      <c r="F14" s="6" t="s">
        <v>18</v>
      </c>
      <c r="G14" s="9" t="s">
        <v>26</v>
      </c>
      <c r="H14" s="6">
        <v>2</v>
      </c>
      <c r="I14" s="9" t="s">
        <v>27</v>
      </c>
      <c r="J14" s="9" t="s">
        <v>21</v>
      </c>
      <c r="K14" s="9" t="s">
        <v>22</v>
      </c>
      <c r="L14" s="12" t="s">
        <v>38</v>
      </c>
      <c r="M14" s="11">
        <v>46221</v>
      </c>
      <c r="N14" s="11">
        <v>46222</v>
      </c>
      <c r="O14" s="11">
        <v>46222</v>
      </c>
      <c r="P14" s="11">
        <v>46228</v>
      </c>
      <c r="Q14" s="11">
        <v>46229</v>
      </c>
      <c r="R14" s="11">
        <v>46229</v>
      </c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 spans="1:34" ht="27.6" hidden="1">
      <c r="A15" s="6">
        <v>8</v>
      </c>
      <c r="B15" s="6" t="s">
        <v>15</v>
      </c>
      <c r="C15" s="7" t="s">
        <v>414</v>
      </c>
      <c r="D15" s="9" t="s">
        <v>35</v>
      </c>
      <c r="E15" s="9" t="s">
        <v>36</v>
      </c>
      <c r="F15" s="6" t="s">
        <v>18</v>
      </c>
      <c r="G15" s="9" t="s">
        <v>26</v>
      </c>
      <c r="H15" s="6">
        <v>2</v>
      </c>
      <c r="I15" s="9" t="s">
        <v>27</v>
      </c>
      <c r="J15" s="9" t="s">
        <v>21</v>
      </c>
      <c r="K15" s="9" t="s">
        <v>22</v>
      </c>
      <c r="L15" s="12" t="s">
        <v>39</v>
      </c>
      <c r="M15" s="11">
        <v>46221</v>
      </c>
      <c r="N15" s="11">
        <v>46222</v>
      </c>
      <c r="O15" s="11">
        <v>46222</v>
      </c>
      <c r="P15" s="11">
        <v>46228</v>
      </c>
      <c r="Q15" s="11">
        <v>46229</v>
      </c>
      <c r="R15" s="11">
        <v>46229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ht="27.6" hidden="1">
      <c r="A16" s="6">
        <v>9</v>
      </c>
      <c r="B16" s="6" t="s">
        <v>15</v>
      </c>
      <c r="C16" s="7" t="s">
        <v>414</v>
      </c>
      <c r="D16" s="9" t="s">
        <v>35</v>
      </c>
      <c r="E16" s="9" t="s">
        <v>36</v>
      </c>
      <c r="F16" s="6" t="s">
        <v>18</v>
      </c>
      <c r="G16" s="9" t="s">
        <v>28</v>
      </c>
      <c r="H16" s="6">
        <v>2</v>
      </c>
      <c r="I16" s="9" t="s">
        <v>29</v>
      </c>
      <c r="J16" s="9" t="s">
        <v>21</v>
      </c>
      <c r="K16" s="9" t="s">
        <v>22</v>
      </c>
      <c r="L16" s="12" t="s">
        <v>40</v>
      </c>
      <c r="M16" s="11">
        <v>46221</v>
      </c>
      <c r="N16" s="11">
        <v>46222</v>
      </c>
      <c r="O16" s="11">
        <v>46222</v>
      </c>
      <c r="P16" s="11">
        <v>46228</v>
      </c>
      <c r="Q16" s="11">
        <v>46229</v>
      </c>
      <c r="R16" s="11">
        <v>46229</v>
      </c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ht="27.6" hidden="1">
      <c r="A17" s="6"/>
      <c r="B17" s="6" t="s">
        <v>15</v>
      </c>
      <c r="C17" s="7" t="s">
        <v>414</v>
      </c>
      <c r="D17" s="9" t="s">
        <v>35</v>
      </c>
      <c r="E17" s="9" t="s">
        <v>36</v>
      </c>
      <c r="F17" s="6" t="s">
        <v>18</v>
      </c>
      <c r="G17" s="9" t="s">
        <v>28</v>
      </c>
      <c r="H17" s="6">
        <v>2</v>
      </c>
      <c r="I17" s="9" t="s">
        <v>29</v>
      </c>
      <c r="J17" s="9" t="s">
        <v>21</v>
      </c>
      <c r="K17" s="9" t="s">
        <v>22</v>
      </c>
      <c r="L17" s="12" t="s">
        <v>41</v>
      </c>
      <c r="M17" s="11">
        <v>46221</v>
      </c>
      <c r="N17" s="11">
        <v>46222</v>
      </c>
      <c r="O17" s="11">
        <v>46222</v>
      </c>
      <c r="P17" s="11">
        <v>46228</v>
      </c>
      <c r="Q17" s="11">
        <v>46229</v>
      </c>
      <c r="R17" s="11">
        <v>46229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</row>
    <row r="18" spans="1:34" ht="27.6" hidden="1">
      <c r="A18" s="6">
        <v>10</v>
      </c>
      <c r="B18" s="6" t="s">
        <v>15</v>
      </c>
      <c r="C18" s="7" t="s">
        <v>414</v>
      </c>
      <c r="D18" s="9" t="s">
        <v>35</v>
      </c>
      <c r="E18" s="9" t="s">
        <v>36</v>
      </c>
      <c r="F18" s="6" t="s">
        <v>18</v>
      </c>
      <c r="G18" s="9" t="s">
        <v>31</v>
      </c>
      <c r="H18" s="6">
        <v>2</v>
      </c>
      <c r="I18" s="9" t="s">
        <v>32</v>
      </c>
      <c r="J18" s="9" t="s">
        <v>21</v>
      </c>
      <c r="K18" s="9" t="s">
        <v>22</v>
      </c>
      <c r="L18" s="12" t="s">
        <v>37</v>
      </c>
      <c r="M18" s="11">
        <v>46221</v>
      </c>
      <c r="N18" s="11">
        <v>46222</v>
      </c>
      <c r="O18" s="11">
        <v>46222</v>
      </c>
      <c r="P18" s="11">
        <v>46228</v>
      </c>
      <c r="Q18" s="11">
        <v>46229</v>
      </c>
      <c r="R18" s="11">
        <v>46229</v>
      </c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</row>
    <row r="19" spans="1:34" ht="27.6" hidden="1">
      <c r="A19" s="6"/>
      <c r="B19" s="6" t="s">
        <v>15</v>
      </c>
      <c r="C19" s="7" t="s">
        <v>414</v>
      </c>
      <c r="D19" s="9" t="s">
        <v>35</v>
      </c>
      <c r="E19" s="9" t="s">
        <v>36</v>
      </c>
      <c r="F19" s="6" t="s">
        <v>18</v>
      </c>
      <c r="G19" s="9" t="s">
        <v>31</v>
      </c>
      <c r="H19" s="6">
        <v>2</v>
      </c>
      <c r="I19" s="9" t="s">
        <v>32</v>
      </c>
      <c r="J19" s="9" t="s">
        <v>21</v>
      </c>
      <c r="K19" s="9" t="s">
        <v>22</v>
      </c>
      <c r="L19" s="12" t="s">
        <v>42</v>
      </c>
      <c r="M19" s="11">
        <v>46221</v>
      </c>
      <c r="N19" s="11">
        <v>46222</v>
      </c>
      <c r="O19" s="11">
        <v>46222</v>
      </c>
      <c r="P19" s="11">
        <v>46228</v>
      </c>
      <c r="Q19" s="11">
        <v>46229</v>
      </c>
      <c r="R19" s="11">
        <v>46229</v>
      </c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ht="27.6" hidden="1">
      <c r="A20" s="6">
        <v>11</v>
      </c>
      <c r="B20" s="6" t="s">
        <v>15</v>
      </c>
      <c r="C20" s="7" t="s">
        <v>414</v>
      </c>
      <c r="D20" s="9" t="s">
        <v>43</v>
      </c>
      <c r="E20" s="9" t="s">
        <v>44</v>
      </c>
      <c r="F20" s="6" t="s">
        <v>45</v>
      </c>
      <c r="G20" s="9" t="s">
        <v>46</v>
      </c>
      <c r="H20" s="6">
        <v>2</v>
      </c>
      <c r="I20" s="9" t="s">
        <v>47</v>
      </c>
      <c r="J20" s="9" t="s">
        <v>21</v>
      </c>
      <c r="K20" s="9" t="s">
        <v>22</v>
      </c>
      <c r="L20" s="12" t="s">
        <v>48</v>
      </c>
      <c r="M20" s="10">
        <v>46221</v>
      </c>
      <c r="N20" s="11">
        <v>46222</v>
      </c>
      <c r="O20" s="11">
        <v>46222</v>
      </c>
      <c r="P20" s="11">
        <v>46228</v>
      </c>
      <c r="Q20" s="11">
        <v>46229</v>
      </c>
      <c r="R20" s="11">
        <v>46229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ht="27.6" hidden="1">
      <c r="A21" s="6">
        <v>12</v>
      </c>
      <c r="B21" s="6" t="s">
        <v>15</v>
      </c>
      <c r="C21" s="7" t="s">
        <v>414</v>
      </c>
      <c r="D21" s="9" t="s">
        <v>49</v>
      </c>
      <c r="E21" s="9" t="s">
        <v>50</v>
      </c>
      <c r="F21" s="6" t="s">
        <v>51</v>
      </c>
      <c r="G21" s="9" t="s">
        <v>46</v>
      </c>
      <c r="H21" s="6">
        <v>3</v>
      </c>
      <c r="I21" s="9" t="s">
        <v>47</v>
      </c>
      <c r="J21" s="9" t="s">
        <v>21</v>
      </c>
      <c r="K21" s="9" t="s">
        <v>22</v>
      </c>
      <c r="L21" s="12" t="s">
        <v>52</v>
      </c>
      <c r="M21" s="11">
        <v>46242</v>
      </c>
      <c r="N21" s="11">
        <v>46243</v>
      </c>
      <c r="O21" s="11">
        <v>46243</v>
      </c>
      <c r="P21" s="11">
        <v>46249</v>
      </c>
      <c r="Q21" s="11">
        <v>46250</v>
      </c>
      <c r="R21" s="11">
        <v>46250</v>
      </c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ht="27.6" hidden="1">
      <c r="A22" s="6"/>
      <c r="B22" s="6" t="s">
        <v>15</v>
      </c>
      <c r="C22" s="7" t="s">
        <v>414</v>
      </c>
      <c r="D22" s="9" t="s">
        <v>49</v>
      </c>
      <c r="E22" s="9" t="s">
        <v>50</v>
      </c>
      <c r="F22" s="6" t="s">
        <v>51</v>
      </c>
      <c r="G22" s="9" t="s">
        <v>46</v>
      </c>
      <c r="H22" s="6">
        <v>3</v>
      </c>
      <c r="I22" s="9" t="s">
        <v>47</v>
      </c>
      <c r="J22" s="9" t="s">
        <v>21</v>
      </c>
      <c r="K22" s="9" t="s">
        <v>22</v>
      </c>
      <c r="L22" s="8" t="s">
        <v>53</v>
      </c>
      <c r="M22" s="11">
        <v>46242</v>
      </c>
      <c r="N22" s="11">
        <v>46243</v>
      </c>
      <c r="O22" s="11">
        <v>46243</v>
      </c>
      <c r="P22" s="11">
        <v>46249</v>
      </c>
      <c r="Q22" s="11">
        <v>46250</v>
      </c>
      <c r="R22" s="11">
        <v>46250</v>
      </c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ht="27.6" hidden="1">
      <c r="A23" s="13"/>
      <c r="B23" s="14" t="s">
        <v>15</v>
      </c>
      <c r="C23" s="7" t="s">
        <v>414</v>
      </c>
      <c r="D23" s="15" t="s">
        <v>54</v>
      </c>
      <c r="E23" s="15" t="s">
        <v>55</v>
      </c>
      <c r="F23" s="14"/>
      <c r="G23" s="15" t="s">
        <v>46</v>
      </c>
      <c r="H23" s="13">
        <v>3</v>
      </c>
      <c r="I23" s="16"/>
      <c r="J23" s="16"/>
      <c r="K23" s="16"/>
      <c r="L23" s="17"/>
      <c r="M23" s="18"/>
      <c r="N23" s="18"/>
      <c r="O23" s="18"/>
      <c r="P23" s="18"/>
      <c r="Q23" s="18"/>
      <c r="R23" s="18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ht="27.6" hidden="1">
      <c r="A24" s="13"/>
      <c r="B24" s="14" t="s">
        <v>15</v>
      </c>
      <c r="C24" s="7" t="s">
        <v>414</v>
      </c>
      <c r="D24" s="15" t="s">
        <v>54</v>
      </c>
      <c r="E24" s="15" t="s">
        <v>55</v>
      </c>
      <c r="F24" s="14"/>
      <c r="G24" s="15" t="s">
        <v>46</v>
      </c>
      <c r="H24" s="13">
        <v>3</v>
      </c>
      <c r="I24" s="16"/>
      <c r="J24" s="16"/>
      <c r="K24" s="16"/>
      <c r="L24" s="17"/>
      <c r="M24" s="18"/>
      <c r="N24" s="18"/>
      <c r="O24" s="18"/>
      <c r="P24" s="18"/>
      <c r="Q24" s="18"/>
      <c r="R24" s="18"/>
      <c r="S24" s="5" t="s">
        <v>56</v>
      </c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</row>
    <row r="25" spans="1:34" ht="27.6" hidden="1">
      <c r="A25" s="6">
        <v>13</v>
      </c>
      <c r="B25" s="7" t="s">
        <v>15</v>
      </c>
      <c r="C25" s="7" t="s">
        <v>414</v>
      </c>
      <c r="D25" s="8" t="s">
        <v>49</v>
      </c>
      <c r="E25" s="8" t="s">
        <v>50</v>
      </c>
      <c r="F25" s="6" t="s">
        <v>51</v>
      </c>
      <c r="G25" s="9" t="s">
        <v>19</v>
      </c>
      <c r="H25" s="6">
        <v>3</v>
      </c>
      <c r="I25" s="9" t="s">
        <v>20</v>
      </c>
      <c r="J25" s="9" t="s">
        <v>21</v>
      </c>
      <c r="K25" s="9" t="s">
        <v>22</v>
      </c>
      <c r="L25" s="8"/>
      <c r="M25" s="11">
        <v>46242</v>
      </c>
      <c r="N25" s="11">
        <v>46243</v>
      </c>
      <c r="O25" s="11">
        <v>46243</v>
      </c>
      <c r="P25" s="11">
        <v>46249</v>
      </c>
      <c r="Q25" s="11">
        <v>46250</v>
      </c>
      <c r="R25" s="11">
        <v>46250</v>
      </c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</row>
    <row r="26" spans="1:34" ht="27.6" hidden="1">
      <c r="A26" s="6">
        <v>14</v>
      </c>
      <c r="B26" s="7" t="s">
        <v>15</v>
      </c>
      <c r="C26" s="7" t="s">
        <v>414</v>
      </c>
      <c r="D26" s="8" t="s">
        <v>49</v>
      </c>
      <c r="E26" s="8" t="s">
        <v>50</v>
      </c>
      <c r="F26" s="6" t="s">
        <v>51</v>
      </c>
      <c r="G26" s="9" t="s">
        <v>25</v>
      </c>
      <c r="H26" s="6">
        <v>3</v>
      </c>
      <c r="I26" s="9" t="s">
        <v>20</v>
      </c>
      <c r="J26" s="9" t="s">
        <v>21</v>
      </c>
      <c r="K26" s="9" t="s">
        <v>22</v>
      </c>
      <c r="L26" s="8"/>
      <c r="M26" s="11">
        <v>46242</v>
      </c>
      <c r="N26" s="11">
        <v>46243</v>
      </c>
      <c r="O26" s="11">
        <v>46243</v>
      </c>
      <c r="P26" s="11">
        <v>46249</v>
      </c>
      <c r="Q26" s="11">
        <v>46250</v>
      </c>
      <c r="R26" s="11">
        <v>46250</v>
      </c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</row>
    <row r="27" spans="1:34" ht="27.6" hidden="1">
      <c r="A27" s="6">
        <v>15</v>
      </c>
      <c r="B27" s="7" t="s">
        <v>15</v>
      </c>
      <c r="C27" s="7" t="s">
        <v>414</v>
      </c>
      <c r="D27" s="8" t="s">
        <v>49</v>
      </c>
      <c r="E27" s="8" t="s">
        <v>50</v>
      </c>
      <c r="F27" s="6" t="s">
        <v>51</v>
      </c>
      <c r="G27" s="9" t="s">
        <v>26</v>
      </c>
      <c r="H27" s="6">
        <v>3</v>
      </c>
      <c r="I27" s="9" t="s">
        <v>47</v>
      </c>
      <c r="J27" s="9" t="s">
        <v>21</v>
      </c>
      <c r="K27" s="9" t="s">
        <v>22</v>
      </c>
      <c r="L27" s="8"/>
      <c r="M27" s="11">
        <v>46242</v>
      </c>
      <c r="N27" s="11">
        <v>46243</v>
      </c>
      <c r="O27" s="11">
        <v>46243</v>
      </c>
      <c r="P27" s="11">
        <v>46249</v>
      </c>
      <c r="Q27" s="11">
        <v>46250</v>
      </c>
      <c r="R27" s="11">
        <v>46250</v>
      </c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</row>
    <row r="28" spans="1:34" ht="27.6" hidden="1">
      <c r="A28" s="6">
        <v>16</v>
      </c>
      <c r="B28" s="7" t="s">
        <v>15</v>
      </c>
      <c r="C28" s="7" t="s">
        <v>414</v>
      </c>
      <c r="D28" s="8" t="s">
        <v>49</v>
      </c>
      <c r="E28" s="8" t="s">
        <v>50</v>
      </c>
      <c r="F28" s="6" t="s">
        <v>51</v>
      </c>
      <c r="G28" s="9" t="s">
        <v>28</v>
      </c>
      <c r="H28" s="6">
        <v>3</v>
      </c>
      <c r="I28" s="9" t="s">
        <v>29</v>
      </c>
      <c r="J28" s="9" t="s">
        <v>21</v>
      </c>
      <c r="K28" s="9" t="s">
        <v>22</v>
      </c>
      <c r="L28" s="8"/>
      <c r="M28" s="11">
        <v>46242</v>
      </c>
      <c r="N28" s="11">
        <v>46243</v>
      </c>
      <c r="O28" s="11">
        <v>46243</v>
      </c>
      <c r="P28" s="11">
        <v>46249</v>
      </c>
      <c r="Q28" s="11">
        <v>46250</v>
      </c>
      <c r="R28" s="11">
        <v>46250</v>
      </c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</row>
    <row r="29" spans="1:34" ht="27.6" hidden="1">
      <c r="A29" s="6">
        <v>17</v>
      </c>
      <c r="B29" s="6" t="s">
        <v>15</v>
      </c>
      <c r="C29" s="7" t="s">
        <v>414</v>
      </c>
      <c r="D29" s="9" t="s">
        <v>49</v>
      </c>
      <c r="E29" s="9" t="s">
        <v>50</v>
      </c>
      <c r="F29" s="6" t="s">
        <v>51</v>
      </c>
      <c r="G29" s="9" t="s">
        <v>31</v>
      </c>
      <c r="H29" s="6">
        <v>3</v>
      </c>
      <c r="I29" s="9" t="s">
        <v>20</v>
      </c>
      <c r="J29" s="9" t="s">
        <v>21</v>
      </c>
      <c r="K29" s="9" t="s">
        <v>22</v>
      </c>
      <c r="L29" s="12" t="s">
        <v>57</v>
      </c>
      <c r="M29" s="11">
        <v>46242</v>
      </c>
      <c r="N29" s="11">
        <v>46243</v>
      </c>
      <c r="O29" s="11">
        <v>46243</v>
      </c>
      <c r="P29" s="11">
        <v>46249</v>
      </c>
      <c r="Q29" s="11">
        <v>46250</v>
      </c>
      <c r="R29" s="11">
        <v>46250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</row>
    <row r="30" spans="1:34" ht="27.6" hidden="1">
      <c r="A30" s="6"/>
      <c r="B30" s="6" t="s">
        <v>15</v>
      </c>
      <c r="C30" s="7" t="s">
        <v>414</v>
      </c>
      <c r="D30" s="9" t="s">
        <v>49</v>
      </c>
      <c r="E30" s="9" t="s">
        <v>50</v>
      </c>
      <c r="F30" s="6" t="s">
        <v>51</v>
      </c>
      <c r="G30" s="9" t="s">
        <v>31</v>
      </c>
      <c r="H30" s="6">
        <v>3</v>
      </c>
      <c r="I30" s="9" t="s">
        <v>20</v>
      </c>
      <c r="J30" s="9" t="s">
        <v>21</v>
      </c>
      <c r="K30" s="9" t="s">
        <v>22</v>
      </c>
      <c r="L30" s="12" t="s">
        <v>42</v>
      </c>
      <c r="M30" s="11">
        <v>46242</v>
      </c>
      <c r="N30" s="11">
        <v>46243</v>
      </c>
      <c r="O30" s="11">
        <v>46243</v>
      </c>
      <c r="P30" s="11">
        <v>46249</v>
      </c>
      <c r="Q30" s="11">
        <v>46250</v>
      </c>
      <c r="R30" s="11">
        <v>46250</v>
      </c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</row>
    <row r="31" spans="1:34" ht="14.4">
      <c r="A31" s="6">
        <v>18</v>
      </c>
      <c r="B31" s="6" t="s">
        <v>58</v>
      </c>
      <c r="C31" s="6" t="s">
        <v>677</v>
      </c>
      <c r="D31" s="9" t="s">
        <v>16</v>
      </c>
      <c r="E31" s="9" t="s">
        <v>17</v>
      </c>
      <c r="F31" s="6" t="s">
        <v>18</v>
      </c>
      <c r="G31" s="9" t="s">
        <v>59</v>
      </c>
      <c r="H31" s="6">
        <v>1</v>
      </c>
      <c r="I31" s="9" t="s">
        <v>60</v>
      </c>
      <c r="J31" s="9" t="s">
        <v>21</v>
      </c>
      <c r="K31" s="9" t="s">
        <v>22</v>
      </c>
      <c r="L31" s="12" t="s">
        <v>61</v>
      </c>
      <c r="M31" s="11">
        <v>46200</v>
      </c>
      <c r="N31" s="11">
        <v>46201</v>
      </c>
      <c r="O31" s="11">
        <v>46201</v>
      </c>
      <c r="P31" s="11">
        <v>46207</v>
      </c>
      <c r="Q31" s="11">
        <v>46208</v>
      </c>
      <c r="R31" s="11">
        <v>46208</v>
      </c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</row>
    <row r="32" spans="1:34" ht="14.4">
      <c r="A32" s="6"/>
      <c r="B32" s="6" t="s">
        <v>58</v>
      </c>
      <c r="C32" s="6" t="s">
        <v>677</v>
      </c>
      <c r="D32" s="9" t="s">
        <v>16</v>
      </c>
      <c r="E32" s="9" t="s">
        <v>17</v>
      </c>
      <c r="F32" s="6" t="s">
        <v>18</v>
      </c>
      <c r="G32" s="9" t="s">
        <v>59</v>
      </c>
      <c r="H32" s="6">
        <v>1</v>
      </c>
      <c r="I32" s="9" t="s">
        <v>60</v>
      </c>
      <c r="J32" s="9" t="s">
        <v>21</v>
      </c>
      <c r="K32" s="9" t="s">
        <v>22</v>
      </c>
      <c r="L32" s="12" t="s">
        <v>62</v>
      </c>
      <c r="M32" s="11">
        <v>46200</v>
      </c>
      <c r="N32" s="11">
        <v>46201</v>
      </c>
      <c r="O32" s="11">
        <v>46201</v>
      </c>
      <c r="P32" s="11">
        <v>46207</v>
      </c>
      <c r="Q32" s="11">
        <v>46208</v>
      </c>
      <c r="R32" s="11">
        <v>46208</v>
      </c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</row>
    <row r="33" spans="1:34" ht="14.4">
      <c r="A33" s="6">
        <v>19</v>
      </c>
      <c r="B33" s="6" t="s">
        <v>58</v>
      </c>
      <c r="C33" s="6" t="s">
        <v>677</v>
      </c>
      <c r="D33" s="9" t="s">
        <v>35</v>
      </c>
      <c r="E33" s="9" t="s">
        <v>36</v>
      </c>
      <c r="F33" s="6" t="s">
        <v>18</v>
      </c>
      <c r="G33" s="9" t="s">
        <v>59</v>
      </c>
      <c r="H33" s="6">
        <v>2</v>
      </c>
      <c r="I33" s="9" t="s">
        <v>60</v>
      </c>
      <c r="J33" s="9" t="s">
        <v>21</v>
      </c>
      <c r="K33" s="9" t="s">
        <v>22</v>
      </c>
      <c r="L33" s="12" t="s">
        <v>57</v>
      </c>
      <c r="M33" s="11">
        <v>46221</v>
      </c>
      <c r="N33" s="11">
        <v>46222</v>
      </c>
      <c r="O33" s="11">
        <v>46222</v>
      </c>
      <c r="P33" s="11">
        <v>46228</v>
      </c>
      <c r="Q33" s="11">
        <v>46229</v>
      </c>
      <c r="R33" s="11">
        <v>46229</v>
      </c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 spans="1:34" ht="14.4">
      <c r="A34" s="6"/>
      <c r="B34" s="6" t="s">
        <v>58</v>
      </c>
      <c r="C34" s="6" t="s">
        <v>677</v>
      </c>
      <c r="D34" s="9" t="s">
        <v>35</v>
      </c>
      <c r="E34" s="9" t="s">
        <v>36</v>
      </c>
      <c r="F34" s="6" t="s">
        <v>18</v>
      </c>
      <c r="G34" s="9" t="s">
        <v>59</v>
      </c>
      <c r="H34" s="6">
        <v>2</v>
      </c>
      <c r="I34" s="9" t="s">
        <v>60</v>
      </c>
      <c r="J34" s="9" t="s">
        <v>21</v>
      </c>
      <c r="K34" s="9" t="s">
        <v>22</v>
      </c>
      <c r="L34" s="12" t="s">
        <v>63</v>
      </c>
      <c r="M34" s="11">
        <v>46221</v>
      </c>
      <c r="N34" s="11">
        <v>46222</v>
      </c>
      <c r="O34" s="11">
        <v>46222</v>
      </c>
      <c r="P34" s="11">
        <v>46228</v>
      </c>
      <c r="Q34" s="11">
        <v>46229</v>
      </c>
      <c r="R34" s="11">
        <v>46229</v>
      </c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 spans="1:34" ht="27.6">
      <c r="A35" s="6">
        <v>20</v>
      </c>
      <c r="B35" s="7" t="s">
        <v>58</v>
      </c>
      <c r="C35" s="6" t="s">
        <v>677</v>
      </c>
      <c r="D35" s="8" t="s">
        <v>49</v>
      </c>
      <c r="E35" s="8" t="s">
        <v>50</v>
      </c>
      <c r="F35" s="6" t="s">
        <v>51</v>
      </c>
      <c r="G35" s="9" t="s">
        <v>59</v>
      </c>
      <c r="H35" s="6">
        <v>3</v>
      </c>
      <c r="I35" s="9" t="s">
        <v>60</v>
      </c>
      <c r="J35" s="9" t="s">
        <v>21</v>
      </c>
      <c r="K35" s="9" t="s">
        <v>22</v>
      </c>
      <c r="L35" s="8"/>
      <c r="M35" s="11">
        <v>46242</v>
      </c>
      <c r="N35" s="11">
        <v>46243</v>
      </c>
      <c r="O35" s="11">
        <v>46243</v>
      </c>
      <c r="P35" s="11">
        <v>46249</v>
      </c>
      <c r="Q35" s="11">
        <v>46250</v>
      </c>
      <c r="R35" s="11">
        <v>46250</v>
      </c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</row>
    <row r="36" spans="1:34" ht="14.4">
      <c r="A36" s="6">
        <v>21</v>
      </c>
      <c r="B36" s="6" t="s">
        <v>58</v>
      </c>
      <c r="C36" s="6" t="s">
        <v>677</v>
      </c>
      <c r="D36" s="9" t="s">
        <v>43</v>
      </c>
      <c r="E36" s="9" t="s">
        <v>44</v>
      </c>
      <c r="F36" s="6" t="s">
        <v>45</v>
      </c>
      <c r="G36" s="9" t="s">
        <v>64</v>
      </c>
      <c r="H36" s="6" t="s">
        <v>65</v>
      </c>
      <c r="I36" s="9" t="s">
        <v>66</v>
      </c>
      <c r="J36" s="9" t="s">
        <v>67</v>
      </c>
      <c r="K36" s="9" t="s">
        <v>22</v>
      </c>
      <c r="L36" s="12" t="s">
        <v>68</v>
      </c>
      <c r="M36" s="11">
        <v>46200</v>
      </c>
      <c r="N36" s="11">
        <v>46214</v>
      </c>
      <c r="O36" s="11">
        <v>46221</v>
      </c>
      <c r="P36" s="11">
        <v>46228</v>
      </c>
      <c r="Q36" s="11">
        <v>46242</v>
      </c>
      <c r="R36" s="11">
        <v>46249</v>
      </c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</row>
    <row r="37" spans="1:34" ht="14.4">
      <c r="A37" s="6">
        <v>22</v>
      </c>
      <c r="B37" s="6" t="s">
        <v>58</v>
      </c>
      <c r="C37" s="6" t="s">
        <v>677</v>
      </c>
      <c r="D37" s="9" t="s">
        <v>49</v>
      </c>
      <c r="E37" s="9" t="s">
        <v>50</v>
      </c>
      <c r="F37" s="6" t="s">
        <v>51</v>
      </c>
      <c r="G37" s="9" t="s">
        <v>64</v>
      </c>
      <c r="H37" s="6" t="s">
        <v>69</v>
      </c>
      <c r="I37" s="9" t="s">
        <v>66</v>
      </c>
      <c r="J37" s="9" t="s">
        <v>70</v>
      </c>
      <c r="K37" s="9" t="s">
        <v>22</v>
      </c>
      <c r="L37" s="12" t="s">
        <v>71</v>
      </c>
      <c r="M37" s="11">
        <v>46231</v>
      </c>
      <c r="N37" s="11">
        <v>46215</v>
      </c>
      <c r="O37" s="11">
        <v>46222</v>
      </c>
      <c r="P37" s="11">
        <v>46229</v>
      </c>
      <c r="Q37" s="11">
        <v>46243</v>
      </c>
      <c r="R37" s="11">
        <v>46250</v>
      </c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</row>
    <row r="38" spans="1:34" ht="14.25" customHeight="1">
      <c r="A38" s="6"/>
      <c r="B38" s="6" t="s">
        <v>58</v>
      </c>
      <c r="C38" s="6" t="s">
        <v>677</v>
      </c>
      <c r="D38" s="9" t="s">
        <v>49</v>
      </c>
      <c r="E38" s="9" t="s">
        <v>50</v>
      </c>
      <c r="F38" s="6" t="s">
        <v>51</v>
      </c>
      <c r="G38" s="9" t="s">
        <v>64</v>
      </c>
      <c r="H38" s="6" t="s">
        <v>69</v>
      </c>
      <c r="I38" s="9" t="s">
        <v>66</v>
      </c>
      <c r="J38" s="9" t="s">
        <v>70</v>
      </c>
      <c r="K38" s="9" t="s">
        <v>22</v>
      </c>
      <c r="L38" s="12" t="s">
        <v>72</v>
      </c>
      <c r="M38" s="11">
        <v>46231</v>
      </c>
      <c r="N38" s="11">
        <v>46215</v>
      </c>
      <c r="O38" s="11">
        <v>46222</v>
      </c>
      <c r="P38" s="11">
        <v>46229</v>
      </c>
      <c r="Q38" s="11">
        <v>46243</v>
      </c>
      <c r="R38" s="11">
        <v>46250</v>
      </c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</row>
    <row r="39" spans="1:34" ht="14.25" customHeight="1">
      <c r="A39" s="13"/>
      <c r="B39" s="14" t="s">
        <v>58</v>
      </c>
      <c r="C39" s="6" t="s">
        <v>677</v>
      </c>
      <c r="D39" s="15" t="s">
        <v>54</v>
      </c>
      <c r="E39" s="15" t="s">
        <v>55</v>
      </c>
      <c r="F39" s="14"/>
      <c r="G39" s="15" t="s">
        <v>64</v>
      </c>
      <c r="H39" s="13">
        <v>3</v>
      </c>
      <c r="I39" s="16"/>
      <c r="J39" s="16"/>
      <c r="K39" s="16"/>
      <c r="L39" s="17"/>
      <c r="M39" s="18"/>
      <c r="N39" s="18"/>
      <c r="O39" s="18"/>
      <c r="P39" s="18"/>
      <c r="Q39" s="18"/>
      <c r="R39" s="18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</row>
    <row r="40" spans="1:34" ht="14.25" customHeight="1">
      <c r="A40" s="13"/>
      <c r="B40" s="14" t="s">
        <v>58</v>
      </c>
      <c r="C40" s="6" t="s">
        <v>677</v>
      </c>
      <c r="D40" s="15" t="s">
        <v>54</v>
      </c>
      <c r="E40" s="15" t="s">
        <v>55</v>
      </c>
      <c r="F40" s="14"/>
      <c r="G40" s="15" t="s">
        <v>64</v>
      </c>
      <c r="H40" s="13">
        <v>3</v>
      </c>
      <c r="I40" s="16"/>
      <c r="J40" s="16"/>
      <c r="K40" s="16"/>
      <c r="L40" s="17"/>
      <c r="M40" s="18"/>
      <c r="N40" s="18"/>
      <c r="O40" s="18"/>
      <c r="P40" s="18"/>
      <c r="Q40" s="18"/>
      <c r="R40" s="18"/>
      <c r="S40" s="5" t="s">
        <v>56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</row>
    <row r="41" spans="1:34" ht="14.25" hidden="1" customHeight="1">
      <c r="A41" s="6"/>
      <c r="B41" s="6"/>
      <c r="C41" s="6"/>
      <c r="D41" s="9"/>
      <c r="E41" s="9"/>
      <c r="F41" s="6"/>
      <c r="G41" s="9"/>
      <c r="H41" s="6"/>
      <c r="I41" s="9"/>
      <c r="J41" s="9"/>
      <c r="K41" s="9"/>
      <c r="L41" s="9"/>
      <c r="M41" s="9"/>
      <c r="N41" s="9"/>
      <c r="O41" s="9"/>
      <c r="P41" s="9"/>
      <c r="Q41" s="9"/>
      <c r="R41" s="9"/>
      <c r="S41" s="5"/>
      <c r="T41" s="5" t="str">
        <f t="shared" ref="T41:T46" si="0">D41 &amp; " " &amp; E41</f>
        <v xml:space="preserve"> </v>
      </c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</row>
    <row r="42" spans="1:34" ht="14.25" hidden="1" customHeight="1">
      <c r="A42" s="6"/>
      <c r="B42" s="6"/>
      <c r="C42" s="6"/>
      <c r="D42" s="9"/>
      <c r="E42" s="9"/>
      <c r="F42" s="6"/>
      <c r="G42" s="9"/>
      <c r="H42" s="6"/>
      <c r="I42" s="9"/>
      <c r="J42" s="9"/>
      <c r="K42" s="9"/>
      <c r="L42" s="9"/>
      <c r="M42" s="9"/>
      <c r="N42" s="9"/>
      <c r="O42" s="9"/>
      <c r="P42" s="9"/>
      <c r="Q42" s="9"/>
      <c r="R42" s="9"/>
      <c r="S42" s="5"/>
      <c r="T42" s="5" t="str">
        <f t="shared" si="0"/>
        <v xml:space="preserve"> </v>
      </c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</row>
    <row r="43" spans="1:34" ht="14.25" hidden="1" customHeight="1">
      <c r="A43" s="6"/>
      <c r="B43" s="6"/>
      <c r="C43" s="6"/>
      <c r="D43" s="9"/>
      <c r="E43" s="9"/>
      <c r="F43" s="6"/>
      <c r="G43" s="9"/>
      <c r="H43" s="6"/>
      <c r="I43" s="9"/>
      <c r="J43" s="9"/>
      <c r="K43" s="9"/>
      <c r="L43" s="9"/>
      <c r="M43" s="9"/>
      <c r="N43" s="9"/>
      <c r="O43" s="9"/>
      <c r="P43" s="9"/>
      <c r="Q43" s="9"/>
      <c r="R43" s="9"/>
      <c r="S43" s="5"/>
      <c r="T43" s="5" t="str">
        <f t="shared" si="0"/>
        <v xml:space="preserve"> </v>
      </c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</row>
    <row r="44" spans="1:34" ht="14.25" hidden="1" customHeight="1">
      <c r="A44" s="6"/>
      <c r="B44" s="6"/>
      <c r="C44" s="6"/>
      <c r="D44" s="9"/>
      <c r="E44" s="9"/>
      <c r="F44" s="6"/>
      <c r="G44" s="9"/>
      <c r="H44" s="6"/>
      <c r="I44" s="9"/>
      <c r="J44" s="9"/>
      <c r="K44" s="9"/>
      <c r="L44" s="9"/>
      <c r="M44" s="9"/>
      <c r="N44" s="9"/>
      <c r="O44" s="9"/>
      <c r="P44" s="9"/>
      <c r="Q44" s="9"/>
      <c r="R44" s="9"/>
      <c r="S44" s="5"/>
      <c r="T44" s="5" t="str">
        <f t="shared" si="0"/>
        <v xml:space="preserve"> </v>
      </c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</row>
    <row r="45" spans="1:34" ht="14.25" hidden="1" customHeight="1">
      <c r="A45" s="6"/>
      <c r="B45" s="6"/>
      <c r="C45" s="6"/>
      <c r="D45" s="9"/>
      <c r="E45" s="9"/>
      <c r="F45" s="6"/>
      <c r="G45" s="9"/>
      <c r="H45" s="6"/>
      <c r="I45" s="9"/>
      <c r="J45" s="9"/>
      <c r="K45" s="9"/>
      <c r="L45" s="9"/>
      <c r="M45" s="9"/>
      <c r="N45" s="9"/>
      <c r="O45" s="9"/>
      <c r="P45" s="9"/>
      <c r="Q45" s="9"/>
      <c r="R45" s="9"/>
      <c r="S45" s="5"/>
      <c r="T45" s="5" t="str">
        <f t="shared" si="0"/>
        <v xml:space="preserve"> </v>
      </c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</row>
    <row r="46" spans="1:34" ht="14.25" hidden="1" customHeight="1">
      <c r="A46" s="6"/>
      <c r="B46" s="6"/>
      <c r="C46" s="6"/>
      <c r="D46" s="9"/>
      <c r="E46" s="9"/>
      <c r="F46" s="6"/>
      <c r="G46" s="9"/>
      <c r="H46" s="6"/>
      <c r="I46" s="9"/>
      <c r="J46" s="9"/>
      <c r="K46" s="9"/>
      <c r="L46" s="9"/>
      <c r="M46" s="9"/>
      <c r="N46" s="9"/>
      <c r="O46" s="9"/>
      <c r="P46" s="9"/>
      <c r="Q46" s="9"/>
      <c r="R46" s="9"/>
      <c r="S46" s="5"/>
      <c r="T46" s="5" t="str">
        <f t="shared" si="0"/>
        <v xml:space="preserve"> </v>
      </c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</row>
    <row r="47" spans="1:34" ht="14.25" hidden="1" customHeight="1">
      <c r="A47" s="19"/>
      <c r="B47" s="19"/>
      <c r="C47" s="19"/>
      <c r="D47" s="5"/>
      <c r="E47" s="5"/>
      <c r="F47" s="19"/>
      <c r="G47" s="5"/>
      <c r="H47" s="19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</row>
    <row r="48" spans="1:34" ht="14.25" hidden="1" customHeight="1">
      <c r="A48" s="19"/>
      <c r="B48" s="19"/>
      <c r="C48" s="19"/>
      <c r="D48" s="5"/>
      <c r="E48" s="5"/>
      <c r="F48" s="19"/>
      <c r="G48" s="5"/>
      <c r="H48" s="19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</row>
    <row r="49" spans="1:34" ht="14.25" hidden="1" customHeight="1">
      <c r="A49" s="19"/>
      <c r="B49" s="19"/>
      <c r="C49" s="19"/>
      <c r="D49" s="5"/>
      <c r="E49" s="5"/>
      <c r="F49" s="19"/>
      <c r="G49" s="5"/>
      <c r="H49" s="19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</row>
    <row r="50" spans="1:34" ht="14.25" hidden="1" customHeight="1">
      <c r="A50" s="19"/>
      <c r="B50" s="19"/>
      <c r="C50" s="19"/>
      <c r="D50" s="5"/>
      <c r="E50" s="5"/>
      <c r="F50" s="19"/>
      <c r="G50" s="5"/>
      <c r="H50" s="19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</row>
    <row r="51" spans="1:34" ht="14.25" hidden="1" customHeight="1">
      <c r="A51" s="19"/>
      <c r="B51" s="19"/>
      <c r="C51" s="19"/>
      <c r="D51" s="5"/>
      <c r="E51" s="5"/>
      <c r="F51" s="19"/>
      <c r="G51" s="5"/>
      <c r="H51" s="19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</row>
    <row r="52" spans="1:34" ht="14.25" hidden="1" customHeight="1">
      <c r="A52" s="19"/>
      <c r="B52" s="19"/>
      <c r="C52" s="19"/>
      <c r="D52" s="5"/>
      <c r="E52" s="5"/>
      <c r="F52" s="19"/>
      <c r="G52" s="5"/>
      <c r="H52" s="19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</row>
    <row r="53" spans="1:34" ht="14.25" hidden="1" customHeight="1">
      <c r="A53" s="19"/>
      <c r="B53" s="19"/>
      <c r="C53" s="19"/>
      <c r="D53" s="5"/>
      <c r="E53" s="5"/>
      <c r="F53" s="19"/>
      <c r="G53" s="5"/>
      <c r="H53" s="19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</row>
    <row r="54" spans="1:34" ht="14.25" hidden="1" customHeight="1">
      <c r="A54" s="19"/>
      <c r="B54" s="19"/>
      <c r="C54" s="19"/>
      <c r="D54" s="5"/>
      <c r="E54" s="5"/>
      <c r="F54" s="19"/>
      <c r="G54" s="5"/>
      <c r="H54" s="19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</row>
    <row r="55" spans="1:34" ht="14.25" hidden="1" customHeight="1">
      <c r="A55" s="19"/>
      <c r="B55" s="19"/>
      <c r="C55" s="19"/>
      <c r="D55" s="5"/>
      <c r="E55" s="5"/>
      <c r="F55" s="19"/>
      <c r="G55" s="5"/>
      <c r="H55" s="19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</row>
    <row r="56" spans="1:34" ht="14.25" hidden="1" customHeight="1">
      <c r="A56" s="19"/>
      <c r="B56" s="19"/>
      <c r="C56" s="19"/>
      <c r="D56" s="5"/>
      <c r="E56" s="5"/>
      <c r="F56" s="19"/>
      <c r="G56" s="5"/>
      <c r="H56" s="19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</row>
    <row r="57" spans="1:34" ht="14.25" hidden="1" customHeight="1">
      <c r="A57" s="19"/>
      <c r="B57" s="19"/>
      <c r="C57" s="19"/>
      <c r="D57" s="5"/>
      <c r="E57" s="5"/>
      <c r="F57" s="19"/>
      <c r="G57" s="5"/>
      <c r="H57" s="19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</row>
    <row r="58" spans="1:34" ht="14.25" hidden="1" customHeight="1">
      <c r="A58" s="19"/>
      <c r="B58" s="19"/>
      <c r="C58" s="19"/>
      <c r="D58" s="5"/>
      <c r="E58" s="5"/>
      <c r="F58" s="19"/>
      <c r="G58" s="5"/>
      <c r="H58" s="19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</row>
    <row r="59" spans="1:34" ht="14.25" hidden="1" customHeight="1">
      <c r="A59" s="19"/>
      <c r="B59" s="19"/>
      <c r="C59" s="19"/>
      <c r="D59" s="5"/>
      <c r="E59" s="5"/>
      <c r="F59" s="19"/>
      <c r="G59" s="5"/>
      <c r="H59" s="19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</row>
    <row r="60" spans="1:34" ht="14.25" hidden="1" customHeight="1">
      <c r="A60" s="19"/>
      <c r="B60" s="19"/>
      <c r="C60" s="19"/>
      <c r="D60" s="5"/>
      <c r="E60" s="5"/>
      <c r="F60" s="19"/>
      <c r="G60" s="5"/>
      <c r="H60" s="19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</row>
    <row r="61" spans="1:34" ht="14.25" hidden="1" customHeight="1">
      <c r="A61" s="19"/>
      <c r="B61" s="19"/>
      <c r="C61" s="19"/>
      <c r="D61" s="5"/>
      <c r="E61" s="5"/>
      <c r="F61" s="19"/>
      <c r="G61" s="5"/>
      <c r="H61" s="19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</row>
    <row r="62" spans="1:34" ht="14.25" hidden="1" customHeight="1">
      <c r="A62" s="19"/>
      <c r="B62" s="19"/>
      <c r="C62" s="19"/>
      <c r="D62" s="5"/>
      <c r="E62" s="5"/>
      <c r="F62" s="19"/>
      <c r="G62" s="5"/>
      <c r="H62" s="19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</row>
    <row r="63" spans="1:34" ht="14.25" hidden="1" customHeight="1">
      <c r="A63" s="19"/>
      <c r="B63" s="19"/>
      <c r="C63" s="19"/>
      <c r="D63" s="5"/>
      <c r="E63" s="5"/>
      <c r="F63" s="19"/>
      <c r="G63" s="5"/>
      <c r="H63" s="19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</row>
    <row r="64" spans="1:34" ht="14.25" hidden="1" customHeight="1">
      <c r="A64" s="19"/>
      <c r="B64" s="19"/>
      <c r="C64" s="19"/>
      <c r="D64" s="5"/>
      <c r="E64" s="5"/>
      <c r="F64" s="19"/>
      <c r="G64" s="5"/>
      <c r="H64" s="19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</row>
    <row r="65" spans="1:34" ht="14.25" hidden="1" customHeight="1">
      <c r="A65" s="19"/>
      <c r="B65" s="19"/>
      <c r="C65" s="19"/>
      <c r="D65" s="5"/>
      <c r="E65" s="5"/>
      <c r="F65" s="19"/>
      <c r="G65" s="5"/>
      <c r="H65" s="19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</row>
    <row r="66" spans="1:34" ht="14.25" hidden="1" customHeight="1">
      <c r="A66" s="19"/>
      <c r="B66" s="19"/>
      <c r="C66" s="19"/>
      <c r="D66" s="5"/>
      <c r="E66" s="5"/>
      <c r="F66" s="19"/>
      <c r="G66" s="5"/>
      <c r="H66" s="19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</row>
    <row r="67" spans="1:34" ht="14.25" hidden="1" customHeight="1">
      <c r="A67" s="19"/>
      <c r="B67" s="19"/>
      <c r="C67" s="19"/>
      <c r="D67" s="5"/>
      <c r="E67" s="5"/>
      <c r="F67" s="19"/>
      <c r="G67" s="5"/>
      <c r="H67" s="19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1:34" ht="14.25" hidden="1" customHeight="1">
      <c r="A68" s="19"/>
      <c r="B68" s="19"/>
      <c r="C68" s="19"/>
      <c r="D68" s="5"/>
      <c r="E68" s="5"/>
      <c r="F68" s="19"/>
      <c r="G68" s="5"/>
      <c r="H68" s="19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1:34" ht="14.25" hidden="1" customHeight="1">
      <c r="A69" s="19"/>
      <c r="B69" s="19"/>
      <c r="C69" s="19"/>
      <c r="D69" s="5"/>
      <c r="E69" s="5"/>
      <c r="F69" s="19"/>
      <c r="G69" s="5"/>
      <c r="H69" s="19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</row>
    <row r="70" spans="1:34" ht="14.25" hidden="1" customHeight="1">
      <c r="A70" s="19"/>
      <c r="B70" s="19"/>
      <c r="C70" s="19"/>
      <c r="D70" s="5"/>
      <c r="E70" s="5"/>
      <c r="F70" s="19"/>
      <c r="G70" s="5"/>
      <c r="H70" s="19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</row>
    <row r="71" spans="1:34" ht="14.25" hidden="1" customHeight="1">
      <c r="A71" s="19"/>
      <c r="B71" s="19"/>
      <c r="C71" s="19"/>
      <c r="D71" s="5"/>
      <c r="E71" s="5"/>
      <c r="F71" s="19"/>
      <c r="G71" s="5"/>
      <c r="H71" s="19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</row>
    <row r="72" spans="1:34" ht="14.25" hidden="1" customHeight="1">
      <c r="A72" s="19"/>
      <c r="B72" s="19"/>
      <c r="C72" s="19"/>
      <c r="D72" s="5"/>
      <c r="E72" s="5"/>
      <c r="F72" s="19"/>
      <c r="G72" s="5"/>
      <c r="H72" s="19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</row>
    <row r="73" spans="1:34" ht="14.25" hidden="1" customHeight="1">
      <c r="A73" s="19"/>
      <c r="B73" s="19"/>
      <c r="C73" s="19"/>
      <c r="D73" s="5"/>
      <c r="E73" s="5"/>
      <c r="F73" s="19"/>
      <c r="G73" s="5"/>
      <c r="H73" s="19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</row>
    <row r="74" spans="1:34" ht="14.25" hidden="1" customHeight="1">
      <c r="A74" s="19"/>
      <c r="B74" s="19"/>
      <c r="C74" s="19"/>
      <c r="D74" s="5"/>
      <c r="E74" s="5"/>
      <c r="F74" s="19"/>
      <c r="G74" s="5"/>
      <c r="H74" s="19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</row>
    <row r="75" spans="1:34" ht="14.25" hidden="1" customHeight="1">
      <c r="A75" s="19"/>
      <c r="B75" s="19"/>
      <c r="C75" s="19"/>
      <c r="D75" s="5"/>
      <c r="E75" s="5"/>
      <c r="F75" s="19"/>
      <c r="G75" s="5"/>
      <c r="H75" s="19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1:34" ht="14.25" hidden="1" customHeight="1">
      <c r="A76" s="19"/>
      <c r="B76" s="19"/>
      <c r="C76" s="19"/>
      <c r="D76" s="5"/>
      <c r="E76" s="5"/>
      <c r="F76" s="19"/>
      <c r="G76" s="5"/>
      <c r="H76" s="19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1:34" ht="14.25" hidden="1" customHeight="1">
      <c r="A77" s="19"/>
      <c r="B77" s="19"/>
      <c r="C77" s="19"/>
      <c r="D77" s="5"/>
      <c r="E77" s="5"/>
      <c r="F77" s="19"/>
      <c r="G77" s="5"/>
      <c r="H77" s="19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</row>
    <row r="78" spans="1:34" ht="14.25" hidden="1" customHeight="1">
      <c r="A78" s="19"/>
      <c r="B78" s="19"/>
      <c r="C78" s="19"/>
      <c r="D78" s="5"/>
      <c r="E78" s="5"/>
      <c r="F78" s="19"/>
      <c r="G78" s="5"/>
      <c r="H78" s="19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</row>
    <row r="79" spans="1:34" ht="14.25" hidden="1" customHeight="1">
      <c r="A79" s="19"/>
      <c r="B79" s="19"/>
      <c r="C79" s="19"/>
      <c r="D79" s="5"/>
      <c r="E79" s="5"/>
      <c r="F79" s="19"/>
      <c r="G79" s="5"/>
      <c r="H79" s="19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</row>
    <row r="80" spans="1:34" ht="14.25" hidden="1" customHeight="1">
      <c r="A80" s="19"/>
      <c r="B80" s="19"/>
      <c r="C80" s="19"/>
      <c r="D80" s="5"/>
      <c r="E80" s="5"/>
      <c r="F80" s="19"/>
      <c r="G80" s="5"/>
      <c r="H80" s="19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</row>
    <row r="81" spans="1:34" ht="14.25" hidden="1" customHeight="1">
      <c r="A81" s="19"/>
      <c r="B81" s="19"/>
      <c r="C81" s="19"/>
      <c r="D81" s="5"/>
      <c r="E81" s="5"/>
      <c r="F81" s="19"/>
      <c r="G81" s="5"/>
      <c r="H81" s="19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</row>
    <row r="82" spans="1:34" ht="14.25" hidden="1" customHeight="1">
      <c r="A82" s="19"/>
      <c r="B82" s="19"/>
      <c r="C82" s="19"/>
      <c r="D82" s="5"/>
      <c r="E82" s="5"/>
      <c r="F82" s="19"/>
      <c r="G82" s="5"/>
      <c r="H82" s="19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</row>
    <row r="83" spans="1:34" ht="14.25" hidden="1" customHeight="1">
      <c r="A83" s="19"/>
      <c r="B83" s="19"/>
      <c r="C83" s="19"/>
      <c r="D83" s="5"/>
      <c r="E83" s="5"/>
      <c r="F83" s="19"/>
      <c r="G83" s="5"/>
      <c r="H83" s="19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1:34" ht="14.25" hidden="1" customHeight="1">
      <c r="A84" s="19"/>
      <c r="B84" s="19"/>
      <c r="C84" s="19"/>
      <c r="D84" s="5"/>
      <c r="E84" s="5"/>
      <c r="F84" s="19"/>
      <c r="G84" s="5"/>
      <c r="H84" s="19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1:34" ht="14.25" hidden="1" customHeight="1">
      <c r="A85" s="19"/>
      <c r="B85" s="19"/>
      <c r="C85" s="19"/>
      <c r="D85" s="5"/>
      <c r="E85" s="5"/>
      <c r="F85" s="19"/>
      <c r="G85" s="5"/>
      <c r="H85" s="19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</row>
    <row r="86" spans="1:34" ht="14.25" hidden="1" customHeight="1">
      <c r="A86" s="19"/>
      <c r="B86" s="19"/>
      <c r="C86" s="19"/>
      <c r="D86" s="5"/>
      <c r="E86" s="5"/>
      <c r="F86" s="19"/>
      <c r="G86" s="5"/>
      <c r="H86" s="19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</row>
    <row r="87" spans="1:34" ht="14.25" hidden="1" customHeight="1">
      <c r="A87" s="19"/>
      <c r="B87" s="19"/>
      <c r="C87" s="19"/>
      <c r="D87" s="5"/>
      <c r="E87" s="5"/>
      <c r="F87" s="19"/>
      <c r="G87" s="5"/>
      <c r="H87" s="19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</row>
    <row r="88" spans="1:34" ht="14.25" hidden="1" customHeight="1">
      <c r="A88" s="19"/>
      <c r="B88" s="19"/>
      <c r="C88" s="19"/>
      <c r="D88" s="5"/>
      <c r="E88" s="5"/>
      <c r="F88" s="19"/>
      <c r="G88" s="5"/>
      <c r="H88" s="19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</row>
    <row r="89" spans="1:34" ht="14.25" hidden="1" customHeight="1">
      <c r="A89" s="19"/>
      <c r="B89" s="19"/>
      <c r="C89" s="19"/>
      <c r="D89" s="5"/>
      <c r="E89" s="5"/>
      <c r="F89" s="19"/>
      <c r="G89" s="5"/>
      <c r="H89" s="19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</row>
    <row r="90" spans="1:34" ht="14.25" hidden="1" customHeight="1">
      <c r="A90" s="19"/>
      <c r="B90" s="19"/>
      <c r="C90" s="19"/>
      <c r="D90" s="5"/>
      <c r="E90" s="5"/>
      <c r="F90" s="19"/>
      <c r="G90" s="5"/>
      <c r="H90" s="19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</row>
    <row r="91" spans="1:34" ht="14.25" hidden="1" customHeight="1">
      <c r="A91" s="19"/>
      <c r="B91" s="19"/>
      <c r="C91" s="19"/>
      <c r="D91" s="5"/>
      <c r="E91" s="5"/>
      <c r="F91" s="19"/>
      <c r="G91" s="5"/>
      <c r="H91" s="19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1:34" ht="14.25" hidden="1" customHeight="1">
      <c r="A92" s="19"/>
      <c r="B92" s="19"/>
      <c r="C92" s="19"/>
      <c r="D92" s="5"/>
      <c r="E92" s="5"/>
      <c r="F92" s="19"/>
      <c r="G92" s="5"/>
      <c r="H92" s="19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1:34" ht="14.25" hidden="1" customHeight="1">
      <c r="A93" s="19"/>
      <c r="B93" s="19"/>
      <c r="C93" s="19"/>
      <c r="D93" s="5"/>
      <c r="E93" s="5"/>
      <c r="F93" s="19"/>
      <c r="G93" s="5"/>
      <c r="H93" s="19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</row>
    <row r="94" spans="1:34" ht="14.25" hidden="1" customHeight="1">
      <c r="A94" s="19"/>
      <c r="B94" s="19"/>
      <c r="C94" s="19"/>
      <c r="D94" s="5"/>
      <c r="E94" s="5"/>
      <c r="F94" s="19"/>
      <c r="G94" s="5"/>
      <c r="H94" s="19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</row>
    <row r="95" spans="1:34" ht="14.25" hidden="1" customHeight="1">
      <c r="A95" s="19"/>
      <c r="B95" s="19"/>
      <c r="C95" s="19"/>
      <c r="D95" s="5"/>
      <c r="E95" s="5"/>
      <c r="F95" s="19"/>
      <c r="G95" s="5"/>
      <c r="H95" s="19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</row>
    <row r="96" spans="1:34" ht="14.25" hidden="1" customHeight="1">
      <c r="A96" s="19"/>
      <c r="B96" s="19"/>
      <c r="C96" s="19"/>
      <c r="D96" s="5"/>
      <c r="E96" s="5"/>
      <c r="F96" s="19"/>
      <c r="G96" s="5"/>
      <c r="H96" s="19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</row>
    <row r="97" spans="1:34" ht="14.25" hidden="1" customHeight="1">
      <c r="A97" s="19"/>
      <c r="B97" s="19"/>
      <c r="C97" s="19"/>
      <c r="D97" s="5"/>
      <c r="E97" s="5"/>
      <c r="F97" s="19"/>
      <c r="G97" s="5"/>
      <c r="H97" s="19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</row>
    <row r="98" spans="1:34" ht="14.25" hidden="1" customHeight="1">
      <c r="A98" s="19"/>
      <c r="B98" s="19"/>
      <c r="C98" s="19"/>
      <c r="D98" s="5"/>
      <c r="E98" s="5"/>
      <c r="F98" s="19"/>
      <c r="G98" s="5"/>
      <c r="H98" s="19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</row>
    <row r="99" spans="1:34" ht="14.25" hidden="1" customHeight="1">
      <c r="A99" s="19"/>
      <c r="B99" s="19"/>
      <c r="C99" s="19"/>
      <c r="D99" s="5"/>
      <c r="E99" s="5"/>
      <c r="F99" s="19"/>
      <c r="G99" s="5"/>
      <c r="H99" s="19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1:34" ht="14.25" hidden="1" customHeight="1">
      <c r="A100" s="19"/>
      <c r="B100" s="19"/>
      <c r="C100" s="19"/>
      <c r="D100" s="5"/>
      <c r="E100" s="5"/>
      <c r="F100" s="19"/>
      <c r="G100" s="5"/>
      <c r="H100" s="19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1:34" ht="14.25" hidden="1" customHeight="1">
      <c r="A101" s="19"/>
      <c r="B101" s="19"/>
      <c r="C101" s="19"/>
      <c r="D101" s="5"/>
      <c r="E101" s="5"/>
      <c r="F101" s="19"/>
      <c r="G101" s="5"/>
      <c r="H101" s="19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</row>
    <row r="102" spans="1:34" ht="14.25" hidden="1" customHeight="1">
      <c r="A102" s="19"/>
      <c r="B102" s="19"/>
      <c r="C102" s="19"/>
      <c r="D102" s="5"/>
      <c r="E102" s="5"/>
      <c r="F102" s="19"/>
      <c r="G102" s="5"/>
      <c r="H102" s="19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1:34" ht="14.25" hidden="1" customHeight="1">
      <c r="A103" s="19"/>
      <c r="B103" s="19"/>
      <c r="C103" s="19"/>
      <c r="D103" s="5"/>
      <c r="E103" s="5"/>
      <c r="F103" s="19"/>
      <c r="G103" s="5"/>
      <c r="H103" s="19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1:34" ht="14.25" hidden="1" customHeight="1">
      <c r="A104" s="19"/>
      <c r="B104" s="19"/>
      <c r="C104" s="19"/>
      <c r="D104" s="5"/>
      <c r="E104" s="5"/>
      <c r="F104" s="19"/>
      <c r="G104" s="5"/>
      <c r="H104" s="19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1:34" ht="14.25" hidden="1" customHeight="1">
      <c r="A105" s="19"/>
      <c r="B105" s="19"/>
      <c r="C105" s="19"/>
      <c r="D105" s="5"/>
      <c r="E105" s="5"/>
      <c r="F105" s="19"/>
      <c r="G105" s="5"/>
      <c r="H105" s="19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1:34" ht="14.25" hidden="1" customHeight="1">
      <c r="A106" s="19"/>
      <c r="B106" s="19"/>
      <c r="C106" s="19"/>
      <c r="D106" s="5"/>
      <c r="E106" s="5"/>
      <c r="F106" s="19"/>
      <c r="G106" s="5"/>
      <c r="H106" s="19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1:34" ht="14.25" hidden="1" customHeight="1">
      <c r="A107" s="19"/>
      <c r="B107" s="19"/>
      <c r="C107" s="19"/>
      <c r="D107" s="5"/>
      <c r="E107" s="5"/>
      <c r="F107" s="19"/>
      <c r="G107" s="5"/>
      <c r="H107" s="19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1:34" ht="14.25" hidden="1" customHeight="1">
      <c r="A108" s="19"/>
      <c r="B108" s="19"/>
      <c r="C108" s="19"/>
      <c r="D108" s="5"/>
      <c r="E108" s="5"/>
      <c r="F108" s="19"/>
      <c r="G108" s="5"/>
      <c r="H108" s="19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1:34" ht="14.25" hidden="1" customHeight="1">
      <c r="A109" s="19"/>
      <c r="B109" s="19"/>
      <c r="C109" s="19"/>
      <c r="D109" s="5"/>
      <c r="E109" s="5"/>
      <c r="F109" s="19"/>
      <c r="G109" s="5"/>
      <c r="H109" s="19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1:34" ht="14.25" hidden="1" customHeight="1">
      <c r="A110" s="19"/>
      <c r="B110" s="19"/>
      <c r="C110" s="19"/>
      <c r="D110" s="5"/>
      <c r="E110" s="5"/>
      <c r="F110" s="19"/>
      <c r="G110" s="5"/>
      <c r="H110" s="19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1:34" ht="14.25" hidden="1" customHeight="1">
      <c r="A111" s="19"/>
      <c r="B111" s="19"/>
      <c r="C111" s="19"/>
      <c r="D111" s="5"/>
      <c r="E111" s="5"/>
      <c r="F111" s="19"/>
      <c r="G111" s="5"/>
      <c r="H111" s="19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1:34" ht="14.25" hidden="1" customHeight="1">
      <c r="A112" s="19"/>
      <c r="B112" s="19"/>
      <c r="C112" s="19"/>
      <c r="D112" s="5"/>
      <c r="E112" s="5"/>
      <c r="F112" s="19"/>
      <c r="G112" s="5"/>
      <c r="H112" s="19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1:34" ht="14.25" hidden="1" customHeight="1">
      <c r="A113" s="19"/>
      <c r="B113" s="19"/>
      <c r="C113" s="19"/>
      <c r="D113" s="5"/>
      <c r="E113" s="5"/>
      <c r="F113" s="19"/>
      <c r="G113" s="5"/>
      <c r="H113" s="19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1:34" ht="14.25" hidden="1" customHeight="1">
      <c r="A114" s="19"/>
      <c r="B114" s="19"/>
      <c r="C114" s="19"/>
      <c r="D114" s="5"/>
      <c r="E114" s="5"/>
      <c r="F114" s="19"/>
      <c r="G114" s="5"/>
      <c r="H114" s="19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1:34" ht="14.25" hidden="1" customHeight="1">
      <c r="A115" s="19"/>
      <c r="B115" s="19"/>
      <c r="C115" s="19"/>
      <c r="D115" s="5"/>
      <c r="E115" s="5"/>
      <c r="F115" s="19"/>
      <c r="G115" s="5"/>
      <c r="H115" s="19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1:34" ht="14.25" hidden="1" customHeight="1">
      <c r="A116" s="19"/>
      <c r="B116" s="19"/>
      <c r="C116" s="19"/>
      <c r="D116" s="5"/>
      <c r="E116" s="5"/>
      <c r="F116" s="19"/>
      <c r="G116" s="5"/>
      <c r="H116" s="19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1:34" ht="14.25" hidden="1" customHeight="1">
      <c r="A117" s="19"/>
      <c r="B117" s="19"/>
      <c r="C117" s="19"/>
      <c r="D117" s="5"/>
      <c r="E117" s="5"/>
      <c r="F117" s="19"/>
      <c r="G117" s="5"/>
      <c r="H117" s="19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1:34" ht="14.25" hidden="1" customHeight="1">
      <c r="A118" s="19"/>
      <c r="B118" s="19"/>
      <c r="C118" s="19"/>
      <c r="D118" s="5"/>
      <c r="E118" s="5"/>
      <c r="F118" s="19"/>
      <c r="G118" s="5"/>
      <c r="H118" s="19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1:34" ht="14.25" hidden="1" customHeight="1">
      <c r="A119" s="19"/>
      <c r="B119" s="19"/>
      <c r="C119" s="19"/>
      <c r="D119" s="5"/>
      <c r="E119" s="5"/>
      <c r="F119" s="19"/>
      <c r="G119" s="5"/>
      <c r="H119" s="19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1:34" ht="14.25" hidden="1" customHeight="1">
      <c r="A120" s="19"/>
      <c r="B120" s="19"/>
      <c r="C120" s="19"/>
      <c r="D120" s="5"/>
      <c r="E120" s="5"/>
      <c r="F120" s="19"/>
      <c r="G120" s="5"/>
      <c r="H120" s="19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1:34" ht="14.25" hidden="1" customHeight="1">
      <c r="A121" s="19"/>
      <c r="B121" s="19"/>
      <c r="C121" s="19"/>
      <c r="D121" s="5"/>
      <c r="E121" s="5"/>
      <c r="F121" s="19"/>
      <c r="G121" s="5"/>
      <c r="H121" s="19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1:34" ht="14.25" hidden="1" customHeight="1">
      <c r="A122" s="19"/>
      <c r="B122" s="19"/>
      <c r="C122" s="19"/>
      <c r="D122" s="5"/>
      <c r="E122" s="5"/>
      <c r="F122" s="19"/>
      <c r="G122" s="5"/>
      <c r="H122" s="19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1:34" ht="14.25" hidden="1" customHeight="1">
      <c r="A123" s="19"/>
      <c r="B123" s="19"/>
      <c r="C123" s="19"/>
      <c r="D123" s="5"/>
      <c r="E123" s="5"/>
      <c r="F123" s="19"/>
      <c r="G123" s="5"/>
      <c r="H123" s="19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1:34" ht="14.25" hidden="1" customHeight="1">
      <c r="A124" s="19"/>
      <c r="B124" s="19"/>
      <c r="C124" s="19"/>
      <c r="D124" s="5"/>
      <c r="E124" s="5"/>
      <c r="F124" s="19"/>
      <c r="G124" s="5"/>
      <c r="H124" s="19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1:34" ht="14.25" hidden="1" customHeight="1">
      <c r="A125" s="19"/>
      <c r="B125" s="19"/>
      <c r="C125" s="19"/>
      <c r="D125" s="5"/>
      <c r="E125" s="5"/>
      <c r="F125" s="19"/>
      <c r="G125" s="5"/>
      <c r="H125" s="19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1:34" ht="14.25" hidden="1" customHeight="1">
      <c r="A126" s="19"/>
      <c r="B126" s="19"/>
      <c r="C126" s="19"/>
      <c r="D126" s="5"/>
      <c r="E126" s="5"/>
      <c r="F126" s="19"/>
      <c r="G126" s="5"/>
      <c r="H126" s="19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1:34" ht="14.25" hidden="1" customHeight="1">
      <c r="A127" s="19"/>
      <c r="B127" s="19"/>
      <c r="C127" s="19"/>
      <c r="D127" s="5"/>
      <c r="E127" s="5"/>
      <c r="F127" s="19"/>
      <c r="G127" s="5"/>
      <c r="H127" s="19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1:34" ht="14.25" hidden="1" customHeight="1">
      <c r="A128" s="19"/>
      <c r="B128" s="19"/>
      <c r="C128" s="19"/>
      <c r="D128" s="5"/>
      <c r="E128" s="5"/>
      <c r="F128" s="19"/>
      <c r="G128" s="5"/>
      <c r="H128" s="19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1:34" ht="14.25" hidden="1" customHeight="1">
      <c r="A129" s="19"/>
      <c r="B129" s="19"/>
      <c r="C129" s="19"/>
      <c r="D129" s="5"/>
      <c r="E129" s="5"/>
      <c r="F129" s="19"/>
      <c r="G129" s="5"/>
      <c r="H129" s="19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1:34" ht="14.25" hidden="1" customHeight="1">
      <c r="A130" s="19"/>
      <c r="B130" s="19"/>
      <c r="C130" s="19"/>
      <c r="D130" s="5"/>
      <c r="E130" s="5"/>
      <c r="F130" s="19"/>
      <c r="G130" s="5"/>
      <c r="H130" s="19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1:34" ht="14.25" hidden="1" customHeight="1">
      <c r="A131" s="19"/>
      <c r="B131" s="19"/>
      <c r="C131" s="19"/>
      <c r="D131" s="5"/>
      <c r="E131" s="5"/>
      <c r="F131" s="19"/>
      <c r="G131" s="5"/>
      <c r="H131" s="19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1:34" ht="14.25" hidden="1" customHeight="1">
      <c r="A132" s="19"/>
      <c r="B132" s="19"/>
      <c r="C132" s="19"/>
      <c r="D132" s="5"/>
      <c r="E132" s="5"/>
      <c r="F132" s="19"/>
      <c r="G132" s="5"/>
      <c r="H132" s="19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1:34" ht="14.25" hidden="1" customHeight="1">
      <c r="A133" s="19"/>
      <c r="B133" s="19"/>
      <c r="C133" s="19"/>
      <c r="D133" s="5"/>
      <c r="E133" s="5"/>
      <c r="F133" s="19"/>
      <c r="G133" s="5"/>
      <c r="H133" s="19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1:34" ht="14.25" hidden="1" customHeight="1">
      <c r="A134" s="19"/>
      <c r="B134" s="19"/>
      <c r="C134" s="19"/>
      <c r="D134" s="5"/>
      <c r="E134" s="5"/>
      <c r="F134" s="19"/>
      <c r="G134" s="5"/>
      <c r="H134" s="19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1:34" ht="14.25" hidden="1" customHeight="1">
      <c r="A135" s="19"/>
      <c r="B135" s="19"/>
      <c r="C135" s="19"/>
      <c r="D135" s="5"/>
      <c r="E135" s="5"/>
      <c r="F135" s="19"/>
      <c r="G135" s="5"/>
      <c r="H135" s="19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1:34" ht="14.25" hidden="1" customHeight="1">
      <c r="A136" s="19"/>
      <c r="B136" s="19"/>
      <c r="C136" s="19"/>
      <c r="D136" s="5"/>
      <c r="E136" s="5"/>
      <c r="F136" s="19"/>
      <c r="G136" s="5"/>
      <c r="H136" s="19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1:34" ht="14.25" hidden="1" customHeight="1">
      <c r="A137" s="19"/>
      <c r="B137" s="19"/>
      <c r="C137" s="19"/>
      <c r="D137" s="5"/>
      <c r="E137" s="5"/>
      <c r="F137" s="19"/>
      <c r="G137" s="5"/>
      <c r="H137" s="19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1:34" ht="14.25" hidden="1" customHeight="1">
      <c r="A138" s="19"/>
      <c r="B138" s="19"/>
      <c r="C138" s="19"/>
      <c r="D138" s="5"/>
      <c r="E138" s="5"/>
      <c r="F138" s="19"/>
      <c r="G138" s="5"/>
      <c r="H138" s="19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1:34" ht="14.25" hidden="1" customHeight="1">
      <c r="A139" s="19"/>
      <c r="B139" s="19"/>
      <c r="C139" s="19"/>
      <c r="D139" s="5"/>
      <c r="E139" s="5"/>
      <c r="F139" s="19"/>
      <c r="G139" s="5"/>
      <c r="H139" s="19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1:34" ht="14.25" hidden="1" customHeight="1">
      <c r="A140" s="19"/>
      <c r="B140" s="19"/>
      <c r="C140" s="19"/>
      <c r="D140" s="5"/>
      <c r="E140" s="5"/>
      <c r="F140" s="19"/>
      <c r="G140" s="5"/>
      <c r="H140" s="19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1:34" ht="14.25" hidden="1" customHeight="1">
      <c r="A141" s="19"/>
      <c r="B141" s="19"/>
      <c r="C141" s="19"/>
      <c r="D141" s="5"/>
      <c r="E141" s="5"/>
      <c r="F141" s="19"/>
      <c r="G141" s="5"/>
      <c r="H141" s="19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1:34" ht="14.25" hidden="1" customHeight="1">
      <c r="A142" s="19"/>
      <c r="B142" s="19"/>
      <c r="C142" s="19"/>
      <c r="D142" s="5"/>
      <c r="E142" s="5"/>
      <c r="F142" s="19"/>
      <c r="G142" s="5"/>
      <c r="H142" s="19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1:34" ht="14.25" hidden="1" customHeight="1">
      <c r="A143" s="19"/>
      <c r="B143" s="19"/>
      <c r="C143" s="19"/>
      <c r="D143" s="5"/>
      <c r="E143" s="5"/>
      <c r="F143" s="19"/>
      <c r="G143" s="5"/>
      <c r="H143" s="19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1:34" ht="14.25" hidden="1" customHeight="1">
      <c r="A144" s="19"/>
      <c r="B144" s="19"/>
      <c r="C144" s="19"/>
      <c r="D144" s="5"/>
      <c r="E144" s="5"/>
      <c r="F144" s="19"/>
      <c r="G144" s="5"/>
      <c r="H144" s="19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1:34" ht="14.25" hidden="1" customHeight="1">
      <c r="A145" s="19"/>
      <c r="B145" s="19"/>
      <c r="C145" s="19"/>
      <c r="D145" s="5"/>
      <c r="E145" s="5"/>
      <c r="F145" s="19"/>
      <c r="G145" s="5"/>
      <c r="H145" s="19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1:34" ht="14.25" hidden="1" customHeight="1">
      <c r="A146" s="19"/>
      <c r="B146" s="19"/>
      <c r="C146" s="19"/>
      <c r="D146" s="5"/>
      <c r="E146" s="5"/>
      <c r="F146" s="19"/>
      <c r="G146" s="5"/>
      <c r="H146" s="19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1:34" ht="14.25" hidden="1" customHeight="1">
      <c r="A147" s="19"/>
      <c r="B147" s="19"/>
      <c r="C147" s="19"/>
      <c r="D147" s="5"/>
      <c r="E147" s="5"/>
      <c r="F147" s="19"/>
      <c r="G147" s="5"/>
      <c r="H147" s="19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1:34" ht="14.25" hidden="1" customHeight="1">
      <c r="A148" s="19"/>
      <c r="B148" s="19"/>
      <c r="C148" s="19"/>
      <c r="D148" s="5"/>
      <c r="E148" s="5"/>
      <c r="F148" s="19"/>
      <c r="G148" s="5"/>
      <c r="H148" s="19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1:34" ht="14.25" hidden="1" customHeight="1">
      <c r="A149" s="19"/>
      <c r="B149" s="19"/>
      <c r="C149" s="19"/>
      <c r="D149" s="5"/>
      <c r="E149" s="5"/>
      <c r="F149" s="19"/>
      <c r="G149" s="5"/>
      <c r="H149" s="19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1:34" ht="14.25" hidden="1" customHeight="1">
      <c r="A150" s="19"/>
      <c r="B150" s="19"/>
      <c r="C150" s="19"/>
      <c r="D150" s="5"/>
      <c r="E150" s="5"/>
      <c r="F150" s="19"/>
      <c r="G150" s="5"/>
      <c r="H150" s="19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1:34" ht="14.25" hidden="1" customHeight="1">
      <c r="A151" s="19"/>
      <c r="B151" s="19"/>
      <c r="C151" s="19"/>
      <c r="D151" s="5"/>
      <c r="E151" s="5"/>
      <c r="F151" s="19"/>
      <c r="G151" s="5"/>
      <c r="H151" s="19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1:34" ht="14.25" hidden="1" customHeight="1">
      <c r="A152" s="19"/>
      <c r="B152" s="19"/>
      <c r="C152" s="19"/>
      <c r="D152" s="5"/>
      <c r="E152" s="5"/>
      <c r="F152" s="19"/>
      <c r="G152" s="5"/>
      <c r="H152" s="19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1:34" ht="14.25" hidden="1" customHeight="1">
      <c r="A153" s="19"/>
      <c r="B153" s="19"/>
      <c r="C153" s="19"/>
      <c r="D153" s="5"/>
      <c r="E153" s="5"/>
      <c r="F153" s="19"/>
      <c r="G153" s="5"/>
      <c r="H153" s="19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1:34" ht="14.25" hidden="1" customHeight="1">
      <c r="A154" s="19"/>
      <c r="B154" s="19"/>
      <c r="C154" s="19"/>
      <c r="D154" s="5"/>
      <c r="E154" s="5"/>
      <c r="F154" s="19"/>
      <c r="G154" s="5"/>
      <c r="H154" s="19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1:34" ht="14.25" hidden="1" customHeight="1">
      <c r="A155" s="19"/>
      <c r="B155" s="19"/>
      <c r="C155" s="19"/>
      <c r="D155" s="5"/>
      <c r="E155" s="5"/>
      <c r="F155" s="19"/>
      <c r="G155" s="5"/>
      <c r="H155" s="19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1:34" ht="14.25" hidden="1" customHeight="1">
      <c r="A156" s="19"/>
      <c r="B156" s="19"/>
      <c r="C156" s="19"/>
      <c r="D156" s="5"/>
      <c r="E156" s="5"/>
      <c r="F156" s="19"/>
      <c r="G156" s="5"/>
      <c r="H156" s="19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1:34" ht="14.25" hidden="1" customHeight="1">
      <c r="A157" s="19"/>
      <c r="B157" s="19"/>
      <c r="C157" s="19"/>
      <c r="D157" s="5"/>
      <c r="E157" s="5"/>
      <c r="F157" s="19"/>
      <c r="G157" s="5"/>
      <c r="H157" s="19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1:34" ht="14.25" hidden="1" customHeight="1">
      <c r="A158" s="19"/>
      <c r="B158" s="19"/>
      <c r="C158" s="19"/>
      <c r="D158" s="5"/>
      <c r="E158" s="5"/>
      <c r="F158" s="19"/>
      <c r="G158" s="5"/>
      <c r="H158" s="19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1:34" ht="14.25" hidden="1" customHeight="1">
      <c r="A159" s="19"/>
      <c r="B159" s="19"/>
      <c r="C159" s="19"/>
      <c r="D159" s="5"/>
      <c r="E159" s="5"/>
      <c r="F159" s="19"/>
      <c r="G159" s="5"/>
      <c r="H159" s="19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1:34" ht="14.25" hidden="1" customHeight="1">
      <c r="A160" s="19"/>
      <c r="B160" s="19"/>
      <c r="C160" s="19"/>
      <c r="D160" s="5"/>
      <c r="E160" s="5"/>
      <c r="F160" s="19"/>
      <c r="G160" s="5"/>
      <c r="H160" s="19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1:34" ht="14.25" hidden="1" customHeight="1">
      <c r="A161" s="19"/>
      <c r="B161" s="19"/>
      <c r="C161" s="19"/>
      <c r="D161" s="5"/>
      <c r="E161" s="5"/>
      <c r="F161" s="19"/>
      <c r="G161" s="5"/>
      <c r="H161" s="19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1:34" ht="14.25" hidden="1" customHeight="1">
      <c r="A162" s="19"/>
      <c r="B162" s="19"/>
      <c r="C162" s="19"/>
      <c r="D162" s="5"/>
      <c r="E162" s="5"/>
      <c r="F162" s="19"/>
      <c r="G162" s="5"/>
      <c r="H162" s="19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1:34" ht="14.25" hidden="1" customHeight="1">
      <c r="A163" s="19"/>
      <c r="B163" s="19"/>
      <c r="C163" s="19"/>
      <c r="D163" s="5"/>
      <c r="E163" s="5"/>
      <c r="F163" s="19"/>
      <c r="G163" s="5"/>
      <c r="H163" s="19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1:34" ht="14.25" hidden="1" customHeight="1">
      <c r="A164" s="19"/>
      <c r="B164" s="19"/>
      <c r="C164" s="19"/>
      <c r="D164" s="5"/>
      <c r="E164" s="5"/>
      <c r="F164" s="19"/>
      <c r="G164" s="5"/>
      <c r="H164" s="19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1:34" ht="14.25" hidden="1" customHeight="1">
      <c r="A165" s="19"/>
      <c r="B165" s="19"/>
      <c r="C165" s="19"/>
      <c r="D165" s="5"/>
      <c r="E165" s="5"/>
      <c r="F165" s="19"/>
      <c r="G165" s="5"/>
      <c r="H165" s="19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1:34" ht="14.25" hidden="1" customHeight="1">
      <c r="A166" s="19"/>
      <c r="B166" s="19"/>
      <c r="C166" s="19"/>
      <c r="D166" s="5"/>
      <c r="E166" s="5"/>
      <c r="F166" s="19"/>
      <c r="G166" s="5"/>
      <c r="H166" s="19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1:34" ht="14.25" hidden="1" customHeight="1">
      <c r="A167" s="19"/>
      <c r="B167" s="19"/>
      <c r="C167" s="19"/>
      <c r="D167" s="5"/>
      <c r="E167" s="5"/>
      <c r="F167" s="19"/>
      <c r="G167" s="5"/>
      <c r="H167" s="19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1:34" ht="14.25" hidden="1" customHeight="1">
      <c r="A168" s="19"/>
      <c r="B168" s="19"/>
      <c r="C168" s="19"/>
      <c r="D168" s="5"/>
      <c r="E168" s="5"/>
      <c r="F168" s="19"/>
      <c r="G168" s="5"/>
      <c r="H168" s="19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1:34" ht="14.25" hidden="1" customHeight="1">
      <c r="A169" s="19"/>
      <c r="B169" s="19"/>
      <c r="C169" s="19"/>
      <c r="D169" s="5"/>
      <c r="E169" s="5"/>
      <c r="F169" s="19"/>
      <c r="G169" s="5"/>
      <c r="H169" s="19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1:34" ht="14.25" hidden="1" customHeight="1">
      <c r="A170" s="19"/>
      <c r="B170" s="19"/>
      <c r="C170" s="19"/>
      <c r="D170" s="5"/>
      <c r="E170" s="5"/>
      <c r="F170" s="19"/>
      <c r="G170" s="5"/>
      <c r="H170" s="19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1:34" ht="14.25" hidden="1" customHeight="1">
      <c r="A171" s="19"/>
      <c r="B171" s="19"/>
      <c r="C171" s="19"/>
      <c r="D171" s="5"/>
      <c r="E171" s="5"/>
      <c r="F171" s="19"/>
      <c r="G171" s="5"/>
      <c r="H171" s="19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1:34" ht="14.25" hidden="1" customHeight="1">
      <c r="A172" s="19"/>
      <c r="B172" s="19"/>
      <c r="C172" s="19"/>
      <c r="D172" s="5"/>
      <c r="E172" s="5"/>
      <c r="F172" s="19"/>
      <c r="G172" s="5"/>
      <c r="H172" s="19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1:34" ht="14.25" hidden="1" customHeight="1">
      <c r="A173" s="19"/>
      <c r="B173" s="19"/>
      <c r="C173" s="19"/>
      <c r="D173" s="5"/>
      <c r="E173" s="5"/>
      <c r="F173" s="19"/>
      <c r="G173" s="5"/>
      <c r="H173" s="19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1:34" ht="14.25" hidden="1" customHeight="1">
      <c r="A174" s="19"/>
      <c r="B174" s="19"/>
      <c r="C174" s="19"/>
      <c r="D174" s="5"/>
      <c r="E174" s="5"/>
      <c r="F174" s="19"/>
      <c r="G174" s="5"/>
      <c r="H174" s="19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1:34" ht="14.25" hidden="1" customHeight="1">
      <c r="A175" s="19"/>
      <c r="B175" s="19"/>
      <c r="C175" s="19"/>
      <c r="D175" s="5"/>
      <c r="E175" s="5"/>
      <c r="F175" s="19"/>
      <c r="G175" s="5"/>
      <c r="H175" s="19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1:34" ht="14.25" hidden="1" customHeight="1">
      <c r="A176" s="19"/>
      <c r="B176" s="19"/>
      <c r="C176" s="19"/>
      <c r="D176" s="5"/>
      <c r="E176" s="5"/>
      <c r="F176" s="19"/>
      <c r="G176" s="5"/>
      <c r="H176" s="19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1:34" ht="14.25" hidden="1" customHeight="1">
      <c r="A177" s="19"/>
      <c r="B177" s="19"/>
      <c r="C177" s="19"/>
      <c r="D177" s="5"/>
      <c r="E177" s="5"/>
      <c r="F177" s="19"/>
      <c r="G177" s="5"/>
      <c r="H177" s="19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1:34" ht="14.25" hidden="1" customHeight="1">
      <c r="A178" s="19"/>
      <c r="B178" s="19"/>
      <c r="C178" s="19"/>
      <c r="D178" s="5"/>
      <c r="E178" s="5"/>
      <c r="F178" s="19"/>
      <c r="G178" s="5"/>
      <c r="H178" s="19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1:34" ht="14.25" hidden="1" customHeight="1">
      <c r="A179" s="19"/>
      <c r="B179" s="19"/>
      <c r="C179" s="19"/>
      <c r="D179" s="5"/>
      <c r="E179" s="5"/>
      <c r="F179" s="19"/>
      <c r="G179" s="5"/>
      <c r="H179" s="19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1:34" ht="14.25" hidden="1" customHeight="1">
      <c r="A180" s="19"/>
      <c r="B180" s="19"/>
      <c r="C180" s="19"/>
      <c r="D180" s="5"/>
      <c r="E180" s="5"/>
      <c r="F180" s="19"/>
      <c r="G180" s="5"/>
      <c r="H180" s="19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1:34" ht="14.25" hidden="1" customHeight="1">
      <c r="A181" s="19"/>
      <c r="B181" s="19"/>
      <c r="C181" s="19"/>
      <c r="D181" s="5"/>
      <c r="E181" s="5"/>
      <c r="F181" s="19"/>
      <c r="G181" s="5"/>
      <c r="H181" s="19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1:34" ht="14.25" hidden="1" customHeight="1">
      <c r="A182" s="19"/>
      <c r="B182" s="19"/>
      <c r="C182" s="19"/>
      <c r="D182" s="5"/>
      <c r="E182" s="5"/>
      <c r="F182" s="19"/>
      <c r="G182" s="5"/>
      <c r="H182" s="19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1:34" ht="14.25" hidden="1" customHeight="1">
      <c r="A183" s="19"/>
      <c r="B183" s="19"/>
      <c r="C183" s="19"/>
      <c r="D183" s="5"/>
      <c r="E183" s="5"/>
      <c r="F183" s="19"/>
      <c r="G183" s="5"/>
      <c r="H183" s="19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1:34" ht="14.25" hidden="1" customHeight="1">
      <c r="A184" s="19"/>
      <c r="B184" s="19"/>
      <c r="C184" s="19"/>
      <c r="D184" s="5"/>
      <c r="E184" s="5"/>
      <c r="F184" s="19"/>
      <c r="G184" s="5"/>
      <c r="H184" s="19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1:34" ht="14.25" hidden="1" customHeight="1">
      <c r="A185" s="19"/>
      <c r="B185" s="19"/>
      <c r="C185" s="19"/>
      <c r="D185" s="5"/>
      <c r="E185" s="5"/>
      <c r="F185" s="19"/>
      <c r="G185" s="5"/>
      <c r="H185" s="19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1:34" ht="14.25" hidden="1" customHeight="1">
      <c r="A186" s="19"/>
      <c r="B186" s="19"/>
      <c r="C186" s="19"/>
      <c r="D186" s="5"/>
      <c r="E186" s="5"/>
      <c r="F186" s="19"/>
      <c r="G186" s="5"/>
      <c r="H186" s="19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1:34" ht="14.25" hidden="1" customHeight="1">
      <c r="A187" s="19"/>
      <c r="B187" s="19"/>
      <c r="C187" s="19"/>
      <c r="D187" s="5"/>
      <c r="E187" s="5"/>
      <c r="F187" s="19"/>
      <c r="G187" s="5"/>
      <c r="H187" s="19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1:34" ht="14.25" hidden="1" customHeight="1">
      <c r="A188" s="19"/>
      <c r="B188" s="19"/>
      <c r="C188" s="19"/>
      <c r="D188" s="5"/>
      <c r="E188" s="5"/>
      <c r="F188" s="19"/>
      <c r="G188" s="5"/>
      <c r="H188" s="19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1:34" ht="14.25" hidden="1" customHeight="1">
      <c r="A189" s="19"/>
      <c r="B189" s="19"/>
      <c r="C189" s="19"/>
      <c r="D189" s="5"/>
      <c r="E189" s="5"/>
      <c r="F189" s="19"/>
      <c r="G189" s="5"/>
      <c r="H189" s="19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1:34" ht="14.25" hidden="1" customHeight="1">
      <c r="A190" s="19"/>
      <c r="B190" s="19"/>
      <c r="C190" s="19"/>
      <c r="D190" s="5"/>
      <c r="E190" s="5"/>
      <c r="F190" s="19"/>
      <c r="G190" s="5"/>
      <c r="H190" s="19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1:34" ht="14.25" hidden="1" customHeight="1">
      <c r="A191" s="19"/>
      <c r="B191" s="19"/>
      <c r="C191" s="19"/>
      <c r="D191" s="5"/>
      <c r="E191" s="5"/>
      <c r="F191" s="19"/>
      <c r="G191" s="5"/>
      <c r="H191" s="19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1:34" ht="14.25" hidden="1" customHeight="1">
      <c r="A192" s="19"/>
      <c r="B192" s="19"/>
      <c r="C192" s="19"/>
      <c r="D192" s="5"/>
      <c r="E192" s="5"/>
      <c r="F192" s="19"/>
      <c r="G192" s="5"/>
      <c r="H192" s="19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1:34" ht="14.25" hidden="1" customHeight="1">
      <c r="A193" s="19"/>
      <c r="B193" s="19"/>
      <c r="C193" s="19"/>
      <c r="D193" s="5"/>
      <c r="E193" s="5"/>
      <c r="F193" s="19"/>
      <c r="G193" s="5"/>
      <c r="H193" s="19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1:34" ht="14.25" hidden="1" customHeight="1">
      <c r="A194" s="19"/>
      <c r="B194" s="19"/>
      <c r="C194" s="19"/>
      <c r="D194" s="5"/>
      <c r="E194" s="5"/>
      <c r="F194" s="19"/>
      <c r="G194" s="5"/>
      <c r="H194" s="19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1:34" ht="14.25" hidden="1" customHeight="1">
      <c r="A195" s="19"/>
      <c r="B195" s="19"/>
      <c r="C195" s="19"/>
      <c r="D195" s="5"/>
      <c r="E195" s="5"/>
      <c r="F195" s="19"/>
      <c r="G195" s="5"/>
      <c r="H195" s="19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1:34" ht="14.25" hidden="1" customHeight="1">
      <c r="A196" s="19"/>
      <c r="B196" s="19"/>
      <c r="C196" s="19"/>
      <c r="D196" s="5"/>
      <c r="E196" s="5"/>
      <c r="F196" s="19"/>
      <c r="G196" s="5"/>
      <c r="H196" s="19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1:34" ht="14.25" hidden="1" customHeight="1">
      <c r="A197" s="19"/>
      <c r="B197" s="19"/>
      <c r="C197" s="19"/>
      <c r="D197" s="5"/>
      <c r="E197" s="5"/>
      <c r="F197" s="19"/>
      <c r="G197" s="5"/>
      <c r="H197" s="19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1:34" ht="14.25" hidden="1" customHeight="1">
      <c r="A198" s="19"/>
      <c r="B198" s="19"/>
      <c r="C198" s="19"/>
      <c r="D198" s="5"/>
      <c r="E198" s="5"/>
      <c r="F198" s="19"/>
      <c r="G198" s="5"/>
      <c r="H198" s="19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1:34" ht="14.25" hidden="1" customHeight="1">
      <c r="A199" s="19"/>
      <c r="B199" s="19"/>
      <c r="C199" s="19"/>
      <c r="D199" s="5"/>
      <c r="E199" s="5"/>
      <c r="F199" s="19"/>
      <c r="G199" s="5"/>
      <c r="H199" s="19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1:34" ht="14.25" hidden="1" customHeight="1">
      <c r="A200" s="19"/>
      <c r="B200" s="19"/>
      <c r="C200" s="19"/>
      <c r="D200" s="5"/>
      <c r="E200" s="5"/>
      <c r="F200" s="19"/>
      <c r="G200" s="5"/>
      <c r="H200" s="19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1:34" ht="14.25" hidden="1" customHeight="1">
      <c r="A201" s="19"/>
      <c r="B201" s="19"/>
      <c r="C201" s="19"/>
      <c r="D201" s="5"/>
      <c r="E201" s="5"/>
      <c r="F201" s="19"/>
      <c r="G201" s="5"/>
      <c r="H201" s="19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1:34" ht="14.25" hidden="1" customHeight="1">
      <c r="A202" s="19"/>
      <c r="B202" s="19"/>
      <c r="C202" s="19"/>
      <c r="D202" s="5"/>
      <c r="E202" s="5"/>
      <c r="F202" s="19"/>
      <c r="G202" s="5"/>
      <c r="H202" s="19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1:34" ht="14.25" hidden="1" customHeight="1">
      <c r="A203" s="19"/>
      <c r="B203" s="19"/>
      <c r="C203" s="19"/>
      <c r="D203" s="5"/>
      <c r="E203" s="5"/>
      <c r="F203" s="19"/>
      <c r="G203" s="5"/>
      <c r="H203" s="19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1:34" ht="14.25" hidden="1" customHeight="1">
      <c r="A204" s="19"/>
      <c r="B204" s="19"/>
      <c r="C204" s="19"/>
      <c r="D204" s="5"/>
      <c r="E204" s="5"/>
      <c r="F204" s="19"/>
      <c r="G204" s="5"/>
      <c r="H204" s="19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1:34" ht="14.25" hidden="1" customHeight="1">
      <c r="A205" s="19"/>
      <c r="B205" s="19"/>
      <c r="C205" s="19"/>
      <c r="D205" s="5"/>
      <c r="E205" s="5"/>
      <c r="F205" s="19"/>
      <c r="G205" s="5"/>
      <c r="H205" s="19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1:34" ht="14.25" hidden="1" customHeight="1">
      <c r="A206" s="19"/>
      <c r="B206" s="19"/>
      <c r="C206" s="19"/>
      <c r="D206" s="5"/>
      <c r="E206" s="5"/>
      <c r="F206" s="19"/>
      <c r="G206" s="5"/>
      <c r="H206" s="19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1:34" ht="14.25" hidden="1" customHeight="1">
      <c r="A207" s="19"/>
      <c r="B207" s="19"/>
      <c r="C207" s="19"/>
      <c r="D207" s="5"/>
      <c r="E207" s="5"/>
      <c r="F207" s="19"/>
      <c r="G207" s="5"/>
      <c r="H207" s="19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1:34" ht="14.25" hidden="1" customHeight="1">
      <c r="A208" s="19"/>
      <c r="B208" s="19"/>
      <c r="C208" s="19"/>
      <c r="D208" s="5"/>
      <c r="E208" s="5"/>
      <c r="F208" s="19"/>
      <c r="G208" s="5"/>
      <c r="H208" s="19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1:34" ht="14.25" hidden="1" customHeight="1">
      <c r="A209" s="19"/>
      <c r="B209" s="19"/>
      <c r="C209" s="19"/>
      <c r="D209" s="5"/>
      <c r="E209" s="5"/>
      <c r="F209" s="19"/>
      <c r="G209" s="5"/>
      <c r="H209" s="19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1:34" ht="14.25" hidden="1" customHeight="1">
      <c r="A210" s="19"/>
      <c r="B210" s="19"/>
      <c r="C210" s="19"/>
      <c r="D210" s="5"/>
      <c r="E210" s="5"/>
      <c r="F210" s="19"/>
      <c r="G210" s="5"/>
      <c r="H210" s="19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1:34" ht="14.25" hidden="1" customHeight="1">
      <c r="A211" s="19"/>
      <c r="B211" s="19"/>
      <c r="C211" s="19"/>
      <c r="D211" s="5"/>
      <c r="E211" s="5"/>
      <c r="F211" s="19"/>
      <c r="G211" s="5"/>
      <c r="H211" s="19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1:34" ht="14.25" hidden="1" customHeight="1">
      <c r="A212" s="19"/>
      <c r="B212" s="19"/>
      <c r="C212" s="19"/>
      <c r="D212" s="5"/>
      <c r="E212" s="5"/>
      <c r="F212" s="19"/>
      <c r="G212" s="5"/>
      <c r="H212" s="19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1:34" ht="14.25" hidden="1" customHeight="1">
      <c r="A213" s="19"/>
      <c r="B213" s="19"/>
      <c r="C213" s="19"/>
      <c r="D213" s="5"/>
      <c r="E213" s="5"/>
      <c r="F213" s="19"/>
      <c r="G213" s="5"/>
      <c r="H213" s="19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1:34" ht="14.25" hidden="1" customHeight="1">
      <c r="A214" s="19"/>
      <c r="B214" s="19"/>
      <c r="C214" s="19"/>
      <c r="D214" s="5"/>
      <c r="E214" s="5"/>
      <c r="F214" s="19"/>
      <c r="G214" s="5"/>
      <c r="H214" s="19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1:34" ht="14.25" hidden="1" customHeight="1">
      <c r="A215" s="19"/>
      <c r="B215" s="19"/>
      <c r="C215" s="19"/>
      <c r="D215" s="5"/>
      <c r="E215" s="5"/>
      <c r="F215" s="19"/>
      <c r="G215" s="5"/>
      <c r="H215" s="19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1:34" ht="14.25" hidden="1" customHeight="1">
      <c r="A216" s="19"/>
      <c r="B216" s="19"/>
      <c r="C216" s="19"/>
      <c r="D216" s="5"/>
      <c r="E216" s="5"/>
      <c r="F216" s="19"/>
      <c r="G216" s="5"/>
      <c r="H216" s="19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1:34" ht="14.25" hidden="1" customHeight="1">
      <c r="A217" s="19"/>
      <c r="B217" s="19"/>
      <c r="C217" s="19"/>
      <c r="D217" s="5"/>
      <c r="E217" s="5"/>
      <c r="F217" s="19"/>
      <c r="G217" s="5"/>
      <c r="H217" s="19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1:34" ht="14.25" hidden="1" customHeight="1">
      <c r="A218" s="19"/>
      <c r="B218" s="19"/>
      <c r="C218" s="19"/>
      <c r="D218" s="5"/>
      <c r="E218" s="5"/>
      <c r="F218" s="19"/>
      <c r="G218" s="5"/>
      <c r="H218" s="19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1:34" ht="14.25" hidden="1" customHeight="1">
      <c r="A219" s="19"/>
      <c r="B219" s="19"/>
      <c r="C219" s="19"/>
      <c r="D219" s="5"/>
      <c r="E219" s="5"/>
      <c r="F219" s="19"/>
      <c r="G219" s="5"/>
      <c r="H219" s="19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1:34" ht="14.25" hidden="1" customHeight="1">
      <c r="A220" s="19"/>
      <c r="B220" s="19"/>
      <c r="C220" s="19"/>
      <c r="D220" s="5"/>
      <c r="E220" s="5"/>
      <c r="F220" s="19"/>
      <c r="G220" s="5"/>
      <c r="H220" s="19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1:34" ht="14.25" hidden="1" customHeight="1">
      <c r="A221" s="19"/>
      <c r="B221" s="19"/>
      <c r="C221" s="19"/>
      <c r="D221" s="5"/>
      <c r="E221" s="5"/>
      <c r="F221" s="19"/>
      <c r="G221" s="5"/>
      <c r="H221" s="19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1:34" ht="14.25" hidden="1" customHeight="1">
      <c r="A222" s="19"/>
      <c r="B222" s="19"/>
      <c r="C222" s="19"/>
      <c r="D222" s="5"/>
      <c r="E222" s="5"/>
      <c r="F222" s="19"/>
      <c r="G222" s="5"/>
      <c r="H222" s="19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1:34" ht="14.25" hidden="1" customHeight="1">
      <c r="A223" s="19"/>
      <c r="B223" s="19"/>
      <c r="C223" s="19"/>
      <c r="D223" s="5"/>
      <c r="E223" s="5"/>
      <c r="F223" s="19"/>
      <c r="G223" s="5"/>
      <c r="H223" s="19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1:34" ht="14.25" hidden="1" customHeight="1">
      <c r="A224" s="19"/>
      <c r="B224" s="19"/>
      <c r="C224" s="19"/>
      <c r="D224" s="5"/>
      <c r="E224" s="5"/>
      <c r="F224" s="19"/>
      <c r="G224" s="5"/>
      <c r="H224" s="19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1:34" ht="14.25" hidden="1" customHeight="1">
      <c r="A225" s="19"/>
      <c r="B225" s="19"/>
      <c r="C225" s="19"/>
      <c r="D225" s="5"/>
      <c r="E225" s="5"/>
      <c r="F225" s="19"/>
      <c r="G225" s="5"/>
      <c r="H225" s="19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1:34" ht="14.25" hidden="1" customHeight="1">
      <c r="A226" s="19"/>
      <c r="B226" s="19"/>
      <c r="C226" s="19"/>
      <c r="D226" s="5"/>
      <c r="E226" s="5"/>
      <c r="F226" s="19"/>
      <c r="G226" s="5"/>
      <c r="H226" s="19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1:34" ht="14.25" hidden="1" customHeight="1">
      <c r="A227" s="19"/>
      <c r="B227" s="19"/>
      <c r="C227" s="19"/>
      <c r="D227" s="5"/>
      <c r="E227" s="5"/>
      <c r="F227" s="19"/>
      <c r="G227" s="5"/>
      <c r="H227" s="19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1:34" ht="14.25" hidden="1" customHeight="1">
      <c r="A228" s="19"/>
      <c r="B228" s="19"/>
      <c r="C228" s="19"/>
      <c r="D228" s="5"/>
      <c r="E228" s="5"/>
      <c r="F228" s="19"/>
      <c r="G228" s="5"/>
      <c r="H228" s="19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1:34" ht="14.25" hidden="1" customHeight="1">
      <c r="A229" s="19"/>
      <c r="B229" s="19"/>
      <c r="C229" s="19"/>
      <c r="D229" s="5"/>
      <c r="E229" s="5"/>
      <c r="F229" s="19"/>
      <c r="G229" s="5"/>
      <c r="H229" s="19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1:34" ht="14.25" hidden="1" customHeight="1">
      <c r="A230" s="19"/>
      <c r="B230" s="19"/>
      <c r="C230" s="19"/>
      <c r="D230" s="5"/>
      <c r="E230" s="5"/>
      <c r="F230" s="19"/>
      <c r="G230" s="5"/>
      <c r="H230" s="19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1:34" ht="14.25" hidden="1" customHeight="1">
      <c r="A231" s="19"/>
      <c r="B231" s="19"/>
      <c r="C231" s="19"/>
      <c r="D231" s="5"/>
      <c r="E231" s="5"/>
      <c r="F231" s="19"/>
      <c r="G231" s="5"/>
      <c r="H231" s="19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1:34" ht="14.25" hidden="1" customHeight="1">
      <c r="A232" s="19"/>
      <c r="B232" s="19"/>
      <c r="C232" s="19"/>
      <c r="D232" s="5"/>
      <c r="E232" s="5"/>
      <c r="F232" s="19"/>
      <c r="G232" s="5"/>
      <c r="H232" s="19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1:34" ht="14.25" hidden="1" customHeight="1">
      <c r="A233" s="19"/>
      <c r="B233" s="19"/>
      <c r="C233" s="19"/>
      <c r="D233" s="5"/>
      <c r="E233" s="5"/>
      <c r="F233" s="19"/>
      <c r="G233" s="5"/>
      <c r="H233" s="19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1:34" ht="14.25" hidden="1" customHeight="1">
      <c r="A234" s="19"/>
      <c r="B234" s="19"/>
      <c r="C234" s="19"/>
      <c r="D234" s="5"/>
      <c r="E234" s="5"/>
      <c r="F234" s="19"/>
      <c r="G234" s="5"/>
      <c r="H234" s="19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1:34" ht="14.25" hidden="1" customHeight="1">
      <c r="A235" s="19"/>
      <c r="B235" s="19"/>
      <c r="C235" s="19"/>
      <c r="D235" s="5"/>
      <c r="E235" s="5"/>
      <c r="F235" s="19"/>
      <c r="G235" s="5"/>
      <c r="H235" s="19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1:34" ht="14.25" hidden="1" customHeight="1">
      <c r="A236" s="19"/>
      <c r="B236" s="19"/>
      <c r="C236" s="19"/>
      <c r="D236" s="5"/>
      <c r="E236" s="5"/>
      <c r="F236" s="19"/>
      <c r="G236" s="5"/>
      <c r="H236" s="19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1:34" ht="14.25" hidden="1" customHeight="1">
      <c r="A237" s="19"/>
      <c r="B237" s="19"/>
      <c r="C237" s="19"/>
      <c r="D237" s="5"/>
      <c r="E237" s="5"/>
      <c r="F237" s="19"/>
      <c r="G237" s="5"/>
      <c r="H237" s="19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1:34" ht="14.25" hidden="1" customHeight="1">
      <c r="A238" s="19"/>
      <c r="B238" s="19"/>
      <c r="C238" s="19"/>
      <c r="D238" s="5"/>
      <c r="E238" s="5"/>
      <c r="F238" s="19"/>
      <c r="G238" s="5"/>
      <c r="H238" s="19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1:34" ht="14.25" hidden="1" customHeight="1">
      <c r="A239" s="19"/>
      <c r="B239" s="19"/>
      <c r="C239" s="19"/>
      <c r="D239" s="5"/>
      <c r="E239" s="5"/>
      <c r="F239" s="19"/>
      <c r="G239" s="5"/>
      <c r="H239" s="19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1:34" ht="14.25" hidden="1" customHeight="1">
      <c r="A240" s="19"/>
      <c r="B240" s="19"/>
      <c r="C240" s="19"/>
      <c r="D240" s="5"/>
      <c r="E240" s="5"/>
      <c r="F240" s="19"/>
      <c r="G240" s="5"/>
      <c r="H240" s="19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1:34" ht="14.25" hidden="1" customHeight="1">
      <c r="A241" s="19"/>
      <c r="B241" s="19"/>
      <c r="C241" s="19"/>
      <c r="D241" s="5"/>
      <c r="E241" s="5"/>
      <c r="F241" s="19"/>
      <c r="G241" s="5"/>
      <c r="H241" s="19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1:34" ht="14.25" hidden="1" customHeight="1">
      <c r="A242" s="19"/>
      <c r="B242" s="19"/>
      <c r="C242" s="19"/>
      <c r="D242" s="5"/>
      <c r="E242" s="5"/>
      <c r="F242" s="19"/>
      <c r="G242" s="5"/>
      <c r="H242" s="19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1:34" ht="14.25" hidden="1" customHeight="1">
      <c r="A243" s="19"/>
      <c r="B243" s="19"/>
      <c r="C243" s="19"/>
      <c r="D243" s="5"/>
      <c r="E243" s="5"/>
      <c r="F243" s="19"/>
      <c r="G243" s="5"/>
      <c r="H243" s="19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1:34" ht="14.25" hidden="1" customHeight="1">
      <c r="A244" s="19"/>
      <c r="B244" s="19"/>
      <c r="C244" s="19"/>
      <c r="D244" s="5"/>
      <c r="E244" s="5"/>
      <c r="F244" s="19"/>
      <c r="G244" s="5"/>
      <c r="H244" s="19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1:34" ht="14.25" hidden="1" customHeight="1">
      <c r="A245" s="19"/>
      <c r="B245" s="19"/>
      <c r="C245" s="19"/>
      <c r="D245" s="5"/>
      <c r="E245" s="5"/>
      <c r="F245" s="19"/>
      <c r="G245" s="5"/>
      <c r="H245" s="19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1:34" ht="14.25" hidden="1" customHeight="1">
      <c r="A246" s="19"/>
      <c r="B246" s="19"/>
      <c r="C246" s="19"/>
      <c r="D246" s="5"/>
      <c r="E246" s="5"/>
      <c r="F246" s="19"/>
      <c r="G246" s="5"/>
      <c r="H246" s="19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1:34" ht="14.25" hidden="1" customHeight="1">
      <c r="A247" s="19"/>
      <c r="B247" s="19"/>
      <c r="C247" s="19"/>
      <c r="D247" s="5"/>
      <c r="E247" s="5"/>
      <c r="F247" s="19"/>
      <c r="G247" s="5"/>
      <c r="H247" s="19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1:34" ht="14.25" hidden="1" customHeight="1">
      <c r="A248" s="19"/>
      <c r="B248" s="19"/>
      <c r="C248" s="19"/>
      <c r="D248" s="5"/>
      <c r="E248" s="5"/>
      <c r="F248" s="19"/>
      <c r="G248" s="5"/>
      <c r="H248" s="19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1:34" ht="14.25" hidden="1" customHeight="1">
      <c r="A249" s="19"/>
      <c r="B249" s="19"/>
      <c r="C249" s="19"/>
      <c r="D249" s="5"/>
      <c r="E249" s="5"/>
      <c r="F249" s="19"/>
      <c r="G249" s="5"/>
      <c r="H249" s="19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1:34" ht="14.25" hidden="1" customHeight="1">
      <c r="A250" s="19"/>
      <c r="B250" s="19"/>
      <c r="C250" s="19"/>
      <c r="D250" s="5"/>
      <c r="E250" s="5"/>
      <c r="F250" s="19"/>
      <c r="G250" s="5"/>
      <c r="H250" s="19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1:34" ht="14.25" hidden="1" customHeight="1">
      <c r="A251" s="19"/>
      <c r="B251" s="19"/>
      <c r="C251" s="19"/>
      <c r="D251" s="5"/>
      <c r="E251" s="5"/>
      <c r="F251" s="19"/>
      <c r="G251" s="5"/>
      <c r="H251" s="19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1:34" ht="14.25" hidden="1" customHeight="1">
      <c r="A252" s="19"/>
      <c r="B252" s="19"/>
      <c r="C252" s="19"/>
      <c r="D252" s="5"/>
      <c r="E252" s="5"/>
      <c r="F252" s="19"/>
      <c r="G252" s="5"/>
      <c r="H252" s="19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1:34" ht="14.25" hidden="1" customHeight="1">
      <c r="A253" s="19"/>
      <c r="B253" s="19"/>
      <c r="C253" s="19"/>
      <c r="D253" s="5"/>
      <c r="E253" s="5"/>
      <c r="F253" s="19"/>
      <c r="G253" s="5"/>
      <c r="H253" s="19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1:34" ht="14.25" hidden="1" customHeight="1">
      <c r="A254" s="19"/>
      <c r="B254" s="19"/>
      <c r="C254" s="19"/>
      <c r="D254" s="5"/>
      <c r="E254" s="5"/>
      <c r="F254" s="19"/>
      <c r="G254" s="5"/>
      <c r="H254" s="19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1:34" ht="14.25" hidden="1" customHeight="1">
      <c r="A255" s="19"/>
      <c r="B255" s="19"/>
      <c r="C255" s="19"/>
      <c r="D255" s="5"/>
      <c r="E255" s="5"/>
      <c r="F255" s="19"/>
      <c r="G255" s="5"/>
      <c r="H255" s="19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1:34" ht="14.25" hidden="1" customHeight="1">
      <c r="A256" s="19"/>
      <c r="B256" s="19"/>
      <c r="C256" s="19"/>
      <c r="D256" s="5"/>
      <c r="E256" s="5"/>
      <c r="F256" s="19"/>
      <c r="G256" s="5"/>
      <c r="H256" s="19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1:34" ht="14.25" hidden="1" customHeight="1">
      <c r="A257" s="19"/>
      <c r="B257" s="19"/>
      <c r="C257" s="19"/>
      <c r="D257" s="5"/>
      <c r="E257" s="5"/>
      <c r="F257" s="19"/>
      <c r="G257" s="5"/>
      <c r="H257" s="19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1:34" ht="14.25" hidden="1" customHeight="1">
      <c r="A258" s="19"/>
      <c r="B258" s="19"/>
      <c r="C258" s="19"/>
      <c r="D258" s="5"/>
      <c r="E258" s="5"/>
      <c r="F258" s="19"/>
      <c r="G258" s="5"/>
      <c r="H258" s="19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1:34" ht="14.25" hidden="1" customHeight="1">
      <c r="A259" s="19"/>
      <c r="B259" s="19"/>
      <c r="C259" s="19"/>
      <c r="D259" s="5"/>
      <c r="E259" s="5"/>
      <c r="F259" s="19"/>
      <c r="G259" s="5"/>
      <c r="H259" s="19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1:34" ht="14.25" hidden="1" customHeight="1">
      <c r="A260" s="19"/>
      <c r="B260" s="19"/>
      <c r="C260" s="19"/>
      <c r="D260" s="5"/>
      <c r="E260" s="5"/>
      <c r="F260" s="19"/>
      <c r="G260" s="5"/>
      <c r="H260" s="19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1:34" ht="14.25" hidden="1" customHeight="1">
      <c r="A261" s="19"/>
      <c r="B261" s="19"/>
      <c r="C261" s="19"/>
      <c r="D261" s="5"/>
      <c r="E261" s="5"/>
      <c r="F261" s="19"/>
      <c r="G261" s="5"/>
      <c r="H261" s="19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1:34" ht="14.25" hidden="1" customHeight="1">
      <c r="A262" s="19"/>
      <c r="B262" s="19"/>
      <c r="C262" s="19"/>
      <c r="D262" s="5"/>
      <c r="E262" s="5"/>
      <c r="F262" s="19"/>
      <c r="G262" s="5"/>
      <c r="H262" s="19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1:34" ht="14.25" hidden="1" customHeight="1">
      <c r="A263" s="19"/>
      <c r="B263" s="19"/>
      <c r="C263" s="19"/>
      <c r="D263" s="5"/>
      <c r="E263" s="5"/>
      <c r="F263" s="19"/>
      <c r="G263" s="5"/>
      <c r="H263" s="19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1:34" ht="14.25" hidden="1" customHeight="1">
      <c r="A264" s="19"/>
      <c r="B264" s="19"/>
      <c r="C264" s="19"/>
      <c r="D264" s="5"/>
      <c r="E264" s="5"/>
      <c r="F264" s="19"/>
      <c r="G264" s="5"/>
      <c r="H264" s="19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1:34" ht="14.25" hidden="1" customHeight="1">
      <c r="A265" s="19"/>
      <c r="B265" s="19"/>
      <c r="C265" s="19"/>
      <c r="D265" s="5"/>
      <c r="E265" s="5"/>
      <c r="F265" s="19"/>
      <c r="G265" s="5"/>
      <c r="H265" s="19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1:34" ht="14.25" hidden="1" customHeight="1">
      <c r="A266" s="19"/>
      <c r="B266" s="19"/>
      <c r="C266" s="19"/>
      <c r="D266" s="5"/>
      <c r="E266" s="5"/>
      <c r="F266" s="19"/>
      <c r="G266" s="5"/>
      <c r="H266" s="19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1:34" ht="14.25" hidden="1" customHeight="1">
      <c r="A267" s="19"/>
      <c r="B267" s="19"/>
      <c r="C267" s="19"/>
      <c r="D267" s="5"/>
      <c r="E267" s="5"/>
      <c r="F267" s="19"/>
      <c r="G267" s="5"/>
      <c r="H267" s="19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1:34" ht="14.25" hidden="1" customHeight="1">
      <c r="A268" s="19"/>
      <c r="B268" s="19"/>
      <c r="C268" s="19"/>
      <c r="D268" s="5"/>
      <c r="E268" s="5"/>
      <c r="F268" s="19"/>
      <c r="G268" s="5"/>
      <c r="H268" s="19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1:34" ht="14.25" hidden="1" customHeight="1">
      <c r="A269" s="19"/>
      <c r="B269" s="19"/>
      <c r="C269" s="19"/>
      <c r="D269" s="5"/>
      <c r="E269" s="5"/>
      <c r="F269" s="19"/>
      <c r="G269" s="5"/>
      <c r="H269" s="19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1:34" ht="14.25" hidden="1" customHeight="1">
      <c r="A270" s="19"/>
      <c r="B270" s="19"/>
      <c r="C270" s="19"/>
      <c r="D270" s="5"/>
      <c r="E270" s="5"/>
      <c r="F270" s="19"/>
      <c r="G270" s="5"/>
      <c r="H270" s="19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1:34" ht="14.25" hidden="1" customHeight="1">
      <c r="A271" s="19"/>
      <c r="B271" s="19"/>
      <c r="C271" s="19"/>
      <c r="D271" s="5"/>
      <c r="E271" s="5"/>
      <c r="F271" s="19"/>
      <c r="G271" s="5"/>
      <c r="H271" s="19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1:34" ht="14.25" hidden="1" customHeight="1">
      <c r="A272" s="19"/>
      <c r="B272" s="19"/>
      <c r="C272" s="19"/>
      <c r="D272" s="5"/>
      <c r="E272" s="5"/>
      <c r="F272" s="19"/>
      <c r="G272" s="5"/>
      <c r="H272" s="19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1:34" ht="14.25" hidden="1" customHeight="1">
      <c r="A273" s="19"/>
      <c r="B273" s="19"/>
      <c r="C273" s="19"/>
      <c r="D273" s="5"/>
      <c r="E273" s="5"/>
      <c r="F273" s="19"/>
      <c r="G273" s="5"/>
      <c r="H273" s="19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1:34" ht="14.25" hidden="1" customHeight="1">
      <c r="A274" s="19"/>
      <c r="B274" s="19"/>
      <c r="C274" s="19"/>
      <c r="D274" s="5"/>
      <c r="E274" s="5"/>
      <c r="F274" s="19"/>
      <c r="G274" s="5"/>
      <c r="H274" s="19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1:34" ht="14.25" hidden="1" customHeight="1">
      <c r="A275" s="19"/>
      <c r="B275" s="19"/>
      <c r="C275" s="19"/>
      <c r="D275" s="5"/>
      <c r="E275" s="5"/>
      <c r="F275" s="19"/>
      <c r="G275" s="5"/>
      <c r="H275" s="19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1:34" ht="14.25" hidden="1" customHeight="1">
      <c r="A276" s="19"/>
      <c r="B276" s="19"/>
      <c r="C276" s="19"/>
      <c r="D276" s="5"/>
      <c r="E276" s="5"/>
      <c r="F276" s="19"/>
      <c r="G276" s="5"/>
      <c r="H276" s="19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1:34" ht="14.25" hidden="1" customHeight="1">
      <c r="A277" s="19"/>
      <c r="B277" s="19"/>
      <c r="C277" s="19"/>
      <c r="D277" s="5"/>
      <c r="E277" s="5"/>
      <c r="F277" s="19"/>
      <c r="G277" s="5"/>
      <c r="H277" s="19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1:34" ht="14.25" hidden="1" customHeight="1">
      <c r="A278" s="19"/>
      <c r="B278" s="19"/>
      <c r="C278" s="19"/>
      <c r="D278" s="5"/>
      <c r="E278" s="5"/>
      <c r="F278" s="19"/>
      <c r="G278" s="5"/>
      <c r="H278" s="19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1:34" ht="14.25" hidden="1" customHeight="1">
      <c r="A279" s="19"/>
      <c r="B279" s="19"/>
      <c r="C279" s="19"/>
      <c r="D279" s="5"/>
      <c r="E279" s="5"/>
      <c r="F279" s="19"/>
      <c r="G279" s="5"/>
      <c r="H279" s="19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1:34" ht="14.25" hidden="1" customHeight="1">
      <c r="A280" s="19"/>
      <c r="B280" s="19"/>
      <c r="C280" s="19"/>
      <c r="D280" s="5"/>
      <c r="E280" s="5"/>
      <c r="F280" s="19"/>
      <c r="G280" s="5"/>
      <c r="H280" s="19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1:34" ht="14.25" hidden="1" customHeight="1">
      <c r="A281" s="19"/>
      <c r="B281" s="19"/>
      <c r="C281" s="19"/>
      <c r="D281" s="5"/>
      <c r="E281" s="5"/>
      <c r="F281" s="19"/>
      <c r="G281" s="5"/>
      <c r="H281" s="19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1:34" ht="14.25" hidden="1" customHeight="1">
      <c r="A282" s="19"/>
      <c r="B282" s="19"/>
      <c r="C282" s="19"/>
      <c r="D282" s="5"/>
      <c r="E282" s="5"/>
      <c r="F282" s="19"/>
      <c r="G282" s="5"/>
      <c r="H282" s="19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1:34" ht="14.25" hidden="1" customHeight="1">
      <c r="A283" s="19"/>
      <c r="B283" s="19"/>
      <c r="C283" s="19"/>
      <c r="D283" s="5"/>
      <c r="E283" s="5"/>
      <c r="F283" s="19"/>
      <c r="G283" s="5"/>
      <c r="H283" s="19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1:34" ht="14.25" hidden="1" customHeight="1">
      <c r="A284" s="19"/>
      <c r="B284" s="19"/>
      <c r="C284" s="19"/>
      <c r="D284" s="5"/>
      <c r="E284" s="5"/>
      <c r="F284" s="19"/>
      <c r="G284" s="5"/>
      <c r="H284" s="19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1:34" ht="14.25" hidden="1" customHeight="1">
      <c r="A285" s="19"/>
      <c r="B285" s="19"/>
      <c r="C285" s="19"/>
      <c r="D285" s="5"/>
      <c r="E285" s="5"/>
      <c r="F285" s="19"/>
      <c r="G285" s="5"/>
      <c r="H285" s="19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1:34" ht="14.25" hidden="1" customHeight="1">
      <c r="A286" s="19"/>
      <c r="B286" s="19"/>
      <c r="C286" s="19"/>
      <c r="D286" s="5"/>
      <c r="E286" s="5"/>
      <c r="F286" s="19"/>
      <c r="G286" s="5"/>
      <c r="H286" s="19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1:34" ht="14.25" hidden="1" customHeight="1">
      <c r="A287" s="19"/>
      <c r="B287" s="19"/>
      <c r="C287" s="19"/>
      <c r="D287" s="5"/>
      <c r="E287" s="5"/>
      <c r="F287" s="19"/>
      <c r="G287" s="5"/>
      <c r="H287" s="19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1:34" ht="14.25" hidden="1" customHeight="1">
      <c r="A288" s="19"/>
      <c r="B288" s="19"/>
      <c r="C288" s="19"/>
      <c r="D288" s="5"/>
      <c r="E288" s="5"/>
      <c r="F288" s="19"/>
      <c r="G288" s="5"/>
      <c r="H288" s="19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1:34" ht="14.25" hidden="1" customHeight="1">
      <c r="A289" s="19"/>
      <c r="B289" s="19"/>
      <c r="C289" s="19"/>
      <c r="D289" s="5"/>
      <c r="E289" s="5"/>
      <c r="F289" s="19"/>
      <c r="G289" s="5"/>
      <c r="H289" s="19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1:34" ht="14.25" hidden="1" customHeight="1">
      <c r="A290" s="19"/>
      <c r="B290" s="19"/>
      <c r="C290" s="19"/>
      <c r="D290" s="5"/>
      <c r="E290" s="5"/>
      <c r="F290" s="19"/>
      <c r="G290" s="5"/>
      <c r="H290" s="19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1:34" ht="14.25" hidden="1" customHeight="1">
      <c r="A291" s="19"/>
      <c r="B291" s="19"/>
      <c r="C291" s="19"/>
      <c r="D291" s="5"/>
      <c r="E291" s="5"/>
      <c r="F291" s="19"/>
      <c r="G291" s="5"/>
      <c r="H291" s="19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1:34" ht="14.25" hidden="1" customHeight="1">
      <c r="A292" s="19"/>
      <c r="B292" s="19"/>
      <c r="C292" s="19"/>
      <c r="D292" s="5"/>
      <c r="E292" s="5"/>
      <c r="F292" s="19"/>
      <c r="G292" s="5"/>
      <c r="H292" s="19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1:34" ht="14.25" hidden="1" customHeight="1">
      <c r="A293" s="19"/>
      <c r="B293" s="19"/>
      <c r="C293" s="19"/>
      <c r="D293" s="5"/>
      <c r="E293" s="5"/>
      <c r="F293" s="19"/>
      <c r="G293" s="5"/>
      <c r="H293" s="19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1:34" ht="14.25" hidden="1" customHeight="1">
      <c r="A294" s="19"/>
      <c r="B294" s="19"/>
      <c r="C294" s="19"/>
      <c r="D294" s="5"/>
      <c r="E294" s="5"/>
      <c r="F294" s="19"/>
      <c r="G294" s="5"/>
      <c r="H294" s="19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1:34" ht="14.25" hidden="1" customHeight="1">
      <c r="A295" s="19"/>
      <c r="B295" s="19"/>
      <c r="C295" s="19"/>
      <c r="D295" s="5"/>
      <c r="E295" s="5"/>
      <c r="F295" s="19"/>
      <c r="G295" s="5"/>
      <c r="H295" s="19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1:34" ht="14.25" hidden="1" customHeight="1">
      <c r="A296" s="19"/>
      <c r="B296" s="19"/>
      <c r="C296" s="19"/>
      <c r="D296" s="5"/>
      <c r="E296" s="5"/>
      <c r="F296" s="19"/>
      <c r="G296" s="5"/>
      <c r="H296" s="19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1:34" ht="14.25" hidden="1" customHeight="1">
      <c r="A297" s="19"/>
      <c r="B297" s="19"/>
      <c r="C297" s="19"/>
      <c r="D297" s="5"/>
      <c r="E297" s="5"/>
      <c r="F297" s="19"/>
      <c r="G297" s="5"/>
      <c r="H297" s="19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1:34" ht="14.25" hidden="1" customHeight="1">
      <c r="A298" s="19"/>
      <c r="B298" s="19"/>
      <c r="C298" s="19"/>
      <c r="D298" s="5"/>
      <c r="E298" s="5"/>
      <c r="F298" s="19"/>
      <c r="G298" s="5"/>
      <c r="H298" s="19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  <row r="299" spans="1:34" ht="14.25" hidden="1" customHeight="1">
      <c r="A299" s="19"/>
      <c r="B299" s="19"/>
      <c r="C299" s="19"/>
      <c r="D299" s="5"/>
      <c r="E299" s="5"/>
      <c r="F299" s="19"/>
      <c r="G299" s="5"/>
      <c r="H299" s="19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</row>
    <row r="300" spans="1:34" ht="14.25" hidden="1" customHeight="1">
      <c r="A300" s="19"/>
      <c r="B300" s="19"/>
      <c r="C300" s="19"/>
      <c r="D300" s="5"/>
      <c r="E300" s="5"/>
      <c r="F300" s="19"/>
      <c r="G300" s="5"/>
      <c r="H300" s="19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</row>
    <row r="301" spans="1:34" ht="14.25" hidden="1" customHeight="1">
      <c r="A301" s="19"/>
      <c r="B301" s="19"/>
      <c r="C301" s="19"/>
      <c r="D301" s="5"/>
      <c r="E301" s="5"/>
      <c r="F301" s="19"/>
      <c r="G301" s="5"/>
      <c r="H301" s="19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</row>
    <row r="302" spans="1:34" ht="14.25" hidden="1" customHeight="1">
      <c r="A302" s="19"/>
      <c r="B302" s="19"/>
      <c r="C302" s="19"/>
      <c r="D302" s="5"/>
      <c r="E302" s="5"/>
      <c r="F302" s="19"/>
      <c r="G302" s="5"/>
      <c r="H302" s="19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</row>
    <row r="303" spans="1:34" ht="14.25" hidden="1" customHeight="1">
      <c r="A303" s="19"/>
      <c r="B303" s="19"/>
      <c r="C303" s="19"/>
      <c r="D303" s="5"/>
      <c r="E303" s="5"/>
      <c r="F303" s="19"/>
      <c r="G303" s="5"/>
      <c r="H303" s="19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</row>
    <row r="304" spans="1:34" ht="14.25" hidden="1" customHeight="1">
      <c r="A304" s="19"/>
      <c r="B304" s="19"/>
      <c r="C304" s="19"/>
      <c r="D304" s="5"/>
      <c r="E304" s="5"/>
      <c r="F304" s="19"/>
      <c r="G304" s="5"/>
      <c r="H304" s="19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</row>
    <row r="305" spans="1:34" ht="14.25" hidden="1" customHeight="1">
      <c r="A305" s="19"/>
      <c r="B305" s="19"/>
      <c r="C305" s="19"/>
      <c r="D305" s="5"/>
      <c r="E305" s="5"/>
      <c r="F305" s="19"/>
      <c r="G305" s="5"/>
      <c r="H305" s="19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</row>
    <row r="306" spans="1:34" ht="14.25" hidden="1" customHeight="1">
      <c r="A306" s="19"/>
      <c r="B306" s="19"/>
      <c r="C306" s="19"/>
      <c r="D306" s="5"/>
      <c r="E306" s="5"/>
      <c r="F306" s="19"/>
      <c r="G306" s="5"/>
      <c r="H306" s="19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</row>
    <row r="307" spans="1:34" ht="14.25" hidden="1" customHeight="1">
      <c r="A307" s="19"/>
      <c r="B307" s="19"/>
      <c r="C307" s="19"/>
      <c r="D307" s="5"/>
      <c r="E307" s="5"/>
      <c r="F307" s="19"/>
      <c r="G307" s="5"/>
      <c r="H307" s="19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</row>
    <row r="308" spans="1:34" ht="14.25" hidden="1" customHeight="1">
      <c r="A308" s="19"/>
      <c r="B308" s="19"/>
      <c r="C308" s="19"/>
      <c r="D308" s="5"/>
      <c r="E308" s="5"/>
      <c r="F308" s="19"/>
      <c r="G308" s="5"/>
      <c r="H308" s="19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</row>
    <row r="309" spans="1:34" ht="14.25" hidden="1" customHeight="1">
      <c r="A309" s="19"/>
      <c r="B309" s="19"/>
      <c r="C309" s="19"/>
      <c r="D309" s="5"/>
      <c r="E309" s="5"/>
      <c r="F309" s="19"/>
      <c r="G309" s="5"/>
      <c r="H309" s="19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</row>
    <row r="310" spans="1:34" ht="14.25" hidden="1" customHeight="1">
      <c r="A310" s="19"/>
      <c r="B310" s="19"/>
      <c r="C310" s="19"/>
      <c r="D310" s="5"/>
      <c r="E310" s="5"/>
      <c r="F310" s="19"/>
      <c r="G310" s="5"/>
      <c r="H310" s="19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</row>
    <row r="311" spans="1:34" ht="14.25" hidden="1" customHeight="1">
      <c r="A311" s="19"/>
      <c r="B311" s="19"/>
      <c r="C311" s="19"/>
      <c r="D311" s="5"/>
      <c r="E311" s="5"/>
      <c r="F311" s="19"/>
      <c r="G311" s="5"/>
      <c r="H311" s="19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</row>
    <row r="312" spans="1:34" ht="14.25" hidden="1" customHeight="1">
      <c r="A312" s="19"/>
      <c r="B312" s="19"/>
      <c r="C312" s="19"/>
      <c r="D312" s="5"/>
      <c r="E312" s="5"/>
      <c r="F312" s="19"/>
      <c r="G312" s="5"/>
      <c r="H312" s="19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</row>
    <row r="313" spans="1:34" ht="14.25" hidden="1" customHeight="1">
      <c r="A313" s="19"/>
      <c r="B313" s="19"/>
      <c r="C313" s="19"/>
      <c r="D313" s="5"/>
      <c r="E313" s="5"/>
      <c r="F313" s="19"/>
      <c r="G313" s="5"/>
      <c r="H313" s="19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</row>
    <row r="314" spans="1:34" ht="14.25" hidden="1" customHeight="1">
      <c r="A314" s="19"/>
      <c r="B314" s="19"/>
      <c r="C314" s="19"/>
      <c r="D314" s="5"/>
      <c r="E314" s="5"/>
      <c r="F314" s="19"/>
      <c r="G314" s="5"/>
      <c r="H314" s="19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</row>
    <row r="315" spans="1:34" ht="14.25" hidden="1" customHeight="1">
      <c r="A315" s="19"/>
      <c r="B315" s="19"/>
      <c r="C315" s="19"/>
      <c r="D315" s="5"/>
      <c r="E315" s="5"/>
      <c r="F315" s="19"/>
      <c r="G315" s="5"/>
      <c r="H315" s="19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</row>
    <row r="316" spans="1:34" ht="14.25" hidden="1" customHeight="1">
      <c r="A316" s="19"/>
      <c r="B316" s="19"/>
      <c r="C316" s="19"/>
      <c r="D316" s="5"/>
      <c r="E316" s="5"/>
      <c r="F316" s="19"/>
      <c r="G316" s="5"/>
      <c r="H316" s="19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</row>
    <row r="317" spans="1:34" ht="14.25" hidden="1" customHeight="1">
      <c r="A317" s="19"/>
      <c r="B317" s="19"/>
      <c r="C317" s="19"/>
      <c r="D317" s="5"/>
      <c r="E317" s="5"/>
      <c r="F317" s="19"/>
      <c r="G317" s="5"/>
      <c r="H317" s="19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</row>
    <row r="318" spans="1:34" ht="14.25" hidden="1" customHeight="1">
      <c r="A318" s="19"/>
      <c r="B318" s="19"/>
      <c r="C318" s="19"/>
      <c r="D318" s="5"/>
      <c r="E318" s="5"/>
      <c r="F318" s="19"/>
      <c r="G318" s="5"/>
      <c r="H318" s="19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</row>
    <row r="319" spans="1:34" ht="14.25" hidden="1" customHeight="1">
      <c r="A319" s="19"/>
      <c r="B319" s="19"/>
      <c r="C319" s="19"/>
      <c r="D319" s="5"/>
      <c r="E319" s="5"/>
      <c r="F319" s="19"/>
      <c r="G319" s="5"/>
      <c r="H319" s="19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</row>
    <row r="320" spans="1:34" ht="14.25" hidden="1" customHeight="1">
      <c r="A320" s="19"/>
      <c r="B320" s="19"/>
      <c r="C320" s="19"/>
      <c r="D320" s="5"/>
      <c r="E320" s="5"/>
      <c r="F320" s="19"/>
      <c r="G320" s="5"/>
      <c r="H320" s="19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</row>
    <row r="321" spans="1:34" ht="14.25" hidden="1" customHeight="1">
      <c r="A321" s="19"/>
      <c r="B321" s="19"/>
      <c r="C321" s="19"/>
      <c r="D321" s="5"/>
      <c r="E321" s="5"/>
      <c r="F321" s="19"/>
      <c r="G321" s="5"/>
      <c r="H321" s="19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</row>
    <row r="322" spans="1:34" ht="14.25" hidden="1" customHeight="1">
      <c r="A322" s="19"/>
      <c r="B322" s="19"/>
      <c r="C322" s="19"/>
      <c r="D322" s="5"/>
      <c r="E322" s="5"/>
      <c r="F322" s="19"/>
      <c r="G322" s="5"/>
      <c r="H322" s="19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</row>
    <row r="323" spans="1:34" ht="14.25" hidden="1" customHeight="1">
      <c r="A323" s="19"/>
      <c r="B323" s="19"/>
      <c r="C323" s="19"/>
      <c r="D323" s="5"/>
      <c r="E323" s="5"/>
      <c r="F323" s="19"/>
      <c r="G323" s="5"/>
      <c r="H323" s="19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</row>
    <row r="324" spans="1:34" ht="14.25" hidden="1" customHeight="1">
      <c r="A324" s="19"/>
      <c r="B324" s="19"/>
      <c r="C324" s="19"/>
      <c r="D324" s="5"/>
      <c r="E324" s="5"/>
      <c r="F324" s="19"/>
      <c r="G324" s="5"/>
      <c r="H324" s="19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</row>
    <row r="325" spans="1:34" ht="14.25" hidden="1" customHeight="1">
      <c r="A325" s="19"/>
      <c r="B325" s="19"/>
      <c r="C325" s="19"/>
      <c r="D325" s="5"/>
      <c r="E325" s="5"/>
      <c r="F325" s="19"/>
      <c r="G325" s="5"/>
      <c r="H325" s="19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</row>
    <row r="326" spans="1:34" ht="14.25" hidden="1" customHeight="1">
      <c r="A326" s="19"/>
      <c r="B326" s="19"/>
      <c r="C326" s="19"/>
      <c r="D326" s="5"/>
      <c r="E326" s="5"/>
      <c r="F326" s="19"/>
      <c r="G326" s="5"/>
      <c r="H326" s="19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</row>
    <row r="327" spans="1:34" ht="14.25" hidden="1" customHeight="1">
      <c r="A327" s="19"/>
      <c r="B327" s="19"/>
      <c r="C327" s="19"/>
      <c r="D327" s="5"/>
      <c r="E327" s="5"/>
      <c r="F327" s="19"/>
      <c r="G327" s="5"/>
      <c r="H327" s="19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</row>
    <row r="328" spans="1:34" ht="14.25" hidden="1" customHeight="1">
      <c r="A328" s="19"/>
      <c r="B328" s="19"/>
      <c r="C328" s="19"/>
      <c r="D328" s="5"/>
      <c r="E328" s="5"/>
      <c r="F328" s="19"/>
      <c r="G328" s="5"/>
      <c r="H328" s="19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</row>
    <row r="329" spans="1:34" ht="14.25" hidden="1" customHeight="1">
      <c r="A329" s="19"/>
      <c r="B329" s="19"/>
      <c r="C329" s="19"/>
      <c r="D329" s="5"/>
      <c r="E329" s="5"/>
      <c r="F329" s="19"/>
      <c r="G329" s="5"/>
      <c r="H329" s="19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</row>
    <row r="330" spans="1:34" ht="14.25" hidden="1" customHeight="1">
      <c r="A330" s="19"/>
      <c r="B330" s="19"/>
      <c r="C330" s="19"/>
      <c r="D330" s="5"/>
      <c r="E330" s="5"/>
      <c r="F330" s="19"/>
      <c r="G330" s="5"/>
      <c r="H330" s="19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</row>
    <row r="331" spans="1:34" ht="14.25" hidden="1" customHeight="1">
      <c r="A331" s="19"/>
      <c r="B331" s="19"/>
      <c r="C331" s="19"/>
      <c r="D331" s="5"/>
      <c r="E331" s="5"/>
      <c r="F331" s="19"/>
      <c r="G331" s="5"/>
      <c r="H331" s="19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</row>
    <row r="332" spans="1:34" ht="14.25" hidden="1" customHeight="1">
      <c r="A332" s="19"/>
      <c r="B332" s="19"/>
      <c r="C332" s="19"/>
      <c r="D332" s="5"/>
      <c r="E332" s="5"/>
      <c r="F332" s="19"/>
      <c r="G332" s="5"/>
      <c r="H332" s="19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</row>
    <row r="333" spans="1:34" ht="14.25" hidden="1" customHeight="1">
      <c r="A333" s="19"/>
      <c r="B333" s="19"/>
      <c r="C333" s="19"/>
      <c r="D333" s="5"/>
      <c r="E333" s="5"/>
      <c r="F333" s="19"/>
      <c r="G333" s="5"/>
      <c r="H333" s="19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</row>
    <row r="334" spans="1:34" ht="14.25" hidden="1" customHeight="1">
      <c r="A334" s="19"/>
      <c r="B334" s="19"/>
      <c r="C334" s="19"/>
      <c r="D334" s="5"/>
      <c r="E334" s="5"/>
      <c r="F334" s="19"/>
      <c r="G334" s="5"/>
      <c r="H334" s="19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</row>
    <row r="335" spans="1:34" ht="14.25" hidden="1" customHeight="1">
      <c r="A335" s="19"/>
      <c r="B335" s="19"/>
      <c r="C335" s="19"/>
      <c r="D335" s="5"/>
      <c r="E335" s="5"/>
      <c r="F335" s="19"/>
      <c r="G335" s="5"/>
      <c r="H335" s="19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</row>
    <row r="336" spans="1:34" ht="14.25" hidden="1" customHeight="1">
      <c r="A336" s="19"/>
      <c r="B336" s="19"/>
      <c r="C336" s="19"/>
      <c r="D336" s="5"/>
      <c r="E336" s="5"/>
      <c r="F336" s="19"/>
      <c r="G336" s="5"/>
      <c r="H336" s="19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</row>
    <row r="337" spans="1:34" ht="14.25" hidden="1" customHeight="1">
      <c r="A337" s="19"/>
      <c r="B337" s="19"/>
      <c r="C337" s="19"/>
      <c r="D337" s="5"/>
      <c r="E337" s="5"/>
      <c r="F337" s="19"/>
      <c r="G337" s="5"/>
      <c r="H337" s="19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</row>
    <row r="338" spans="1:34" ht="14.25" hidden="1" customHeight="1">
      <c r="A338" s="19"/>
      <c r="B338" s="19"/>
      <c r="C338" s="19"/>
      <c r="D338" s="5"/>
      <c r="E338" s="5"/>
      <c r="F338" s="19"/>
      <c r="G338" s="5"/>
      <c r="H338" s="19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</row>
    <row r="339" spans="1:34" ht="14.25" hidden="1" customHeight="1">
      <c r="A339" s="19"/>
      <c r="B339" s="19"/>
      <c r="C339" s="19"/>
      <c r="D339" s="5"/>
      <c r="E339" s="5"/>
      <c r="F339" s="19"/>
      <c r="G339" s="5"/>
      <c r="H339" s="19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</row>
    <row r="340" spans="1:34" ht="14.25" hidden="1" customHeight="1">
      <c r="A340" s="19"/>
      <c r="B340" s="19"/>
      <c r="C340" s="19"/>
      <c r="D340" s="5"/>
      <c r="E340" s="5"/>
      <c r="F340" s="19"/>
      <c r="G340" s="5"/>
      <c r="H340" s="19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</row>
    <row r="341" spans="1:34" ht="14.25" hidden="1" customHeight="1">
      <c r="A341" s="19"/>
      <c r="B341" s="19"/>
      <c r="C341" s="19"/>
      <c r="D341" s="5"/>
      <c r="E341" s="5"/>
      <c r="F341" s="19"/>
      <c r="G341" s="5"/>
      <c r="H341" s="19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</row>
    <row r="342" spans="1:34" ht="14.25" hidden="1" customHeight="1">
      <c r="A342" s="19"/>
      <c r="B342" s="19"/>
      <c r="C342" s="19"/>
      <c r="D342" s="5"/>
      <c r="E342" s="5"/>
      <c r="F342" s="19"/>
      <c r="G342" s="5"/>
      <c r="H342" s="19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</row>
    <row r="343" spans="1:34" ht="14.25" hidden="1" customHeight="1">
      <c r="A343" s="19"/>
      <c r="B343" s="19"/>
      <c r="C343" s="19"/>
      <c r="D343" s="5"/>
      <c r="E343" s="5"/>
      <c r="F343" s="19"/>
      <c r="G343" s="5"/>
      <c r="H343" s="19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</row>
    <row r="344" spans="1:34" ht="14.25" hidden="1" customHeight="1">
      <c r="A344" s="19"/>
      <c r="B344" s="19"/>
      <c r="C344" s="19"/>
      <c r="D344" s="5"/>
      <c r="E344" s="5"/>
      <c r="F344" s="19"/>
      <c r="G344" s="5"/>
      <c r="H344" s="19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</row>
    <row r="345" spans="1:34" ht="14.25" hidden="1" customHeight="1">
      <c r="A345" s="19"/>
      <c r="B345" s="19"/>
      <c r="C345" s="19"/>
      <c r="D345" s="5"/>
      <c r="E345" s="5"/>
      <c r="F345" s="19"/>
      <c r="G345" s="5"/>
      <c r="H345" s="19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</row>
    <row r="346" spans="1:34" ht="14.25" hidden="1" customHeight="1">
      <c r="A346" s="19"/>
      <c r="B346" s="19"/>
      <c r="C346" s="19"/>
      <c r="D346" s="5"/>
      <c r="E346" s="5"/>
      <c r="F346" s="19"/>
      <c r="G346" s="5"/>
      <c r="H346" s="19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</row>
    <row r="347" spans="1:34" ht="14.25" hidden="1" customHeight="1">
      <c r="A347" s="19"/>
      <c r="B347" s="19"/>
      <c r="C347" s="19"/>
      <c r="D347" s="5"/>
      <c r="E347" s="5"/>
      <c r="F347" s="19"/>
      <c r="G347" s="5"/>
      <c r="H347" s="19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</row>
    <row r="348" spans="1:34" ht="14.25" hidden="1" customHeight="1">
      <c r="A348" s="19"/>
      <c r="B348" s="19"/>
      <c r="C348" s="19"/>
      <c r="D348" s="5"/>
      <c r="E348" s="5"/>
      <c r="F348" s="19"/>
      <c r="G348" s="5"/>
      <c r="H348" s="19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</row>
    <row r="349" spans="1:34" ht="14.25" hidden="1" customHeight="1">
      <c r="A349" s="19"/>
      <c r="B349" s="19"/>
      <c r="C349" s="19"/>
      <c r="D349" s="5"/>
      <c r="E349" s="5"/>
      <c r="F349" s="19"/>
      <c r="G349" s="5"/>
      <c r="H349" s="19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</row>
    <row r="350" spans="1:34" ht="14.25" hidden="1" customHeight="1">
      <c r="A350" s="19"/>
      <c r="B350" s="19"/>
      <c r="C350" s="19"/>
      <c r="D350" s="5"/>
      <c r="E350" s="5"/>
      <c r="F350" s="19"/>
      <c r="G350" s="5"/>
      <c r="H350" s="19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</row>
    <row r="351" spans="1:34" ht="14.25" hidden="1" customHeight="1">
      <c r="A351" s="19"/>
      <c r="B351" s="19"/>
      <c r="C351" s="19"/>
      <c r="D351" s="5"/>
      <c r="E351" s="5"/>
      <c r="F351" s="19"/>
      <c r="G351" s="5"/>
      <c r="H351" s="19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</row>
    <row r="352" spans="1:34" ht="14.25" hidden="1" customHeight="1">
      <c r="A352" s="19"/>
      <c r="B352" s="19"/>
      <c r="C352" s="19"/>
      <c r="D352" s="5"/>
      <c r="E352" s="5"/>
      <c r="F352" s="19"/>
      <c r="G352" s="5"/>
      <c r="H352" s="19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</row>
    <row r="353" spans="1:34" ht="14.25" hidden="1" customHeight="1">
      <c r="A353" s="19"/>
      <c r="B353" s="19"/>
      <c r="C353" s="19"/>
      <c r="D353" s="5"/>
      <c r="E353" s="5"/>
      <c r="F353" s="19"/>
      <c r="G353" s="5"/>
      <c r="H353" s="19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</row>
    <row r="354" spans="1:34" ht="14.25" hidden="1" customHeight="1">
      <c r="A354" s="19"/>
      <c r="B354" s="19"/>
      <c r="C354" s="19"/>
      <c r="D354" s="5"/>
      <c r="E354" s="5"/>
      <c r="F354" s="19"/>
      <c r="G354" s="5"/>
      <c r="H354" s="19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</row>
    <row r="355" spans="1:34" ht="14.25" hidden="1" customHeight="1">
      <c r="A355" s="19"/>
      <c r="B355" s="19"/>
      <c r="C355" s="19"/>
      <c r="D355" s="5"/>
      <c r="E355" s="5"/>
      <c r="F355" s="19"/>
      <c r="G355" s="5"/>
      <c r="H355" s="19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</row>
    <row r="356" spans="1:34" ht="14.25" hidden="1" customHeight="1">
      <c r="A356" s="19"/>
      <c r="B356" s="19"/>
      <c r="C356" s="19"/>
      <c r="D356" s="5"/>
      <c r="E356" s="5"/>
      <c r="F356" s="19"/>
      <c r="G356" s="5"/>
      <c r="H356" s="19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</row>
    <row r="357" spans="1:34" ht="14.25" hidden="1" customHeight="1">
      <c r="A357" s="19"/>
      <c r="B357" s="19"/>
      <c r="C357" s="19"/>
      <c r="D357" s="5"/>
      <c r="E357" s="5"/>
      <c r="F357" s="19"/>
      <c r="G357" s="5"/>
      <c r="H357" s="19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</row>
    <row r="358" spans="1:34" ht="14.25" hidden="1" customHeight="1">
      <c r="A358" s="19"/>
      <c r="B358" s="19"/>
      <c r="C358" s="19"/>
      <c r="D358" s="5"/>
      <c r="E358" s="5"/>
      <c r="F358" s="19"/>
      <c r="G358" s="5"/>
      <c r="H358" s="19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</row>
    <row r="359" spans="1:34" ht="14.25" hidden="1" customHeight="1">
      <c r="A359" s="19"/>
      <c r="B359" s="19"/>
      <c r="C359" s="19"/>
      <c r="D359" s="5"/>
      <c r="E359" s="5"/>
      <c r="F359" s="19"/>
      <c r="G359" s="5"/>
      <c r="H359" s="19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</row>
    <row r="360" spans="1:34" ht="14.25" hidden="1" customHeight="1">
      <c r="A360" s="19"/>
      <c r="B360" s="19"/>
      <c r="C360" s="19"/>
      <c r="D360" s="5"/>
      <c r="E360" s="5"/>
      <c r="F360" s="19"/>
      <c r="G360" s="5"/>
      <c r="H360" s="19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</row>
    <row r="361" spans="1:34" ht="14.25" hidden="1" customHeight="1">
      <c r="A361" s="19"/>
      <c r="B361" s="19"/>
      <c r="C361" s="19"/>
      <c r="D361" s="5"/>
      <c r="E361" s="5"/>
      <c r="F361" s="19"/>
      <c r="G361" s="5"/>
      <c r="H361" s="19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</row>
    <row r="362" spans="1:34" ht="14.25" hidden="1" customHeight="1">
      <c r="A362" s="19"/>
      <c r="B362" s="19"/>
      <c r="C362" s="19"/>
      <c r="D362" s="5"/>
      <c r="E362" s="5"/>
      <c r="F362" s="19"/>
      <c r="G362" s="5"/>
      <c r="H362" s="19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</row>
    <row r="363" spans="1:34" ht="14.25" hidden="1" customHeight="1">
      <c r="A363" s="19"/>
      <c r="B363" s="19"/>
      <c r="C363" s="19"/>
      <c r="D363" s="5"/>
      <c r="E363" s="5"/>
      <c r="F363" s="19"/>
      <c r="G363" s="5"/>
      <c r="H363" s="19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</row>
    <row r="364" spans="1:34" ht="14.25" hidden="1" customHeight="1">
      <c r="A364" s="19"/>
      <c r="B364" s="19"/>
      <c r="C364" s="19"/>
      <c r="D364" s="5"/>
      <c r="E364" s="5"/>
      <c r="F364" s="19"/>
      <c r="G364" s="5"/>
      <c r="H364" s="19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</row>
    <row r="365" spans="1:34" ht="14.25" hidden="1" customHeight="1">
      <c r="A365" s="19"/>
      <c r="B365" s="19"/>
      <c r="C365" s="19"/>
      <c r="D365" s="5"/>
      <c r="E365" s="5"/>
      <c r="F365" s="19"/>
      <c r="G365" s="5"/>
      <c r="H365" s="19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</row>
    <row r="366" spans="1:34" ht="14.25" hidden="1" customHeight="1">
      <c r="A366" s="19"/>
      <c r="B366" s="19"/>
      <c r="C366" s="19"/>
      <c r="D366" s="5"/>
      <c r="E366" s="5"/>
      <c r="F366" s="19"/>
      <c r="G366" s="5"/>
      <c r="H366" s="19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</row>
    <row r="367" spans="1:34" ht="14.25" hidden="1" customHeight="1">
      <c r="A367" s="19"/>
      <c r="B367" s="19"/>
      <c r="C367" s="19"/>
      <c r="D367" s="5"/>
      <c r="E367" s="5"/>
      <c r="F367" s="19"/>
      <c r="G367" s="5"/>
      <c r="H367" s="19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</row>
    <row r="368" spans="1:34" ht="14.25" hidden="1" customHeight="1">
      <c r="A368" s="19"/>
      <c r="B368" s="19"/>
      <c r="C368" s="19"/>
      <c r="D368" s="5"/>
      <c r="E368" s="5"/>
      <c r="F368" s="19"/>
      <c r="G368" s="5"/>
      <c r="H368" s="19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</row>
    <row r="369" spans="1:34" ht="14.25" hidden="1" customHeight="1">
      <c r="A369" s="19"/>
      <c r="B369" s="19"/>
      <c r="C369" s="19"/>
      <c r="D369" s="5"/>
      <c r="E369" s="5"/>
      <c r="F369" s="19"/>
      <c r="G369" s="5"/>
      <c r="H369" s="19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</row>
    <row r="370" spans="1:34" ht="14.25" hidden="1" customHeight="1">
      <c r="A370" s="19"/>
      <c r="B370" s="19"/>
      <c r="C370" s="19"/>
      <c r="D370" s="5"/>
      <c r="E370" s="5"/>
      <c r="F370" s="19"/>
      <c r="G370" s="5"/>
      <c r="H370" s="19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</row>
    <row r="371" spans="1:34" ht="14.25" hidden="1" customHeight="1">
      <c r="A371" s="19"/>
      <c r="B371" s="19"/>
      <c r="C371" s="19"/>
      <c r="D371" s="5"/>
      <c r="E371" s="5"/>
      <c r="F371" s="19"/>
      <c r="G371" s="5"/>
      <c r="H371" s="19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</row>
    <row r="372" spans="1:34" ht="14.25" hidden="1" customHeight="1">
      <c r="A372" s="19"/>
      <c r="B372" s="19"/>
      <c r="C372" s="19"/>
      <c r="D372" s="5"/>
      <c r="E372" s="5"/>
      <c r="F372" s="19"/>
      <c r="G372" s="5"/>
      <c r="H372" s="19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</row>
    <row r="373" spans="1:34" ht="14.25" hidden="1" customHeight="1">
      <c r="A373" s="19"/>
      <c r="B373" s="19"/>
      <c r="C373" s="19"/>
      <c r="D373" s="5"/>
      <c r="E373" s="5"/>
      <c r="F373" s="19"/>
      <c r="G373" s="5"/>
      <c r="H373" s="19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</row>
    <row r="374" spans="1:34" ht="14.25" hidden="1" customHeight="1">
      <c r="A374" s="19"/>
      <c r="B374" s="19"/>
      <c r="C374" s="19"/>
      <c r="D374" s="5"/>
      <c r="E374" s="5"/>
      <c r="F374" s="19"/>
      <c r="G374" s="5"/>
      <c r="H374" s="19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</row>
    <row r="375" spans="1:34" ht="14.25" hidden="1" customHeight="1">
      <c r="A375" s="19"/>
      <c r="B375" s="19"/>
      <c r="C375" s="19"/>
      <c r="D375" s="5"/>
      <c r="E375" s="5"/>
      <c r="F375" s="19"/>
      <c r="G375" s="5"/>
      <c r="H375" s="19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</row>
    <row r="376" spans="1:34" ht="14.25" hidden="1" customHeight="1">
      <c r="A376" s="19"/>
      <c r="B376" s="19"/>
      <c r="C376" s="19"/>
      <c r="D376" s="5"/>
      <c r="E376" s="5"/>
      <c r="F376" s="19"/>
      <c r="G376" s="5"/>
      <c r="H376" s="19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</row>
    <row r="377" spans="1:34" ht="14.25" hidden="1" customHeight="1">
      <c r="A377" s="19"/>
      <c r="B377" s="19"/>
      <c r="C377" s="19"/>
      <c r="D377" s="5"/>
      <c r="E377" s="5"/>
      <c r="F377" s="19"/>
      <c r="G377" s="5"/>
      <c r="H377" s="19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</row>
    <row r="378" spans="1:34" ht="14.25" hidden="1" customHeight="1">
      <c r="A378" s="19"/>
      <c r="B378" s="19"/>
      <c r="C378" s="19"/>
      <c r="D378" s="5"/>
      <c r="E378" s="5"/>
      <c r="F378" s="19"/>
      <c r="G378" s="5"/>
      <c r="H378" s="19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</row>
    <row r="379" spans="1:34" ht="14.25" hidden="1" customHeight="1">
      <c r="A379" s="19"/>
      <c r="B379" s="19"/>
      <c r="C379" s="19"/>
      <c r="D379" s="5"/>
      <c r="E379" s="5"/>
      <c r="F379" s="19"/>
      <c r="G379" s="5"/>
      <c r="H379" s="19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</row>
    <row r="380" spans="1:34" ht="14.25" hidden="1" customHeight="1">
      <c r="A380" s="19"/>
      <c r="B380" s="19"/>
      <c r="C380" s="19"/>
      <c r="D380" s="5"/>
      <c r="E380" s="5"/>
      <c r="F380" s="19"/>
      <c r="G380" s="5"/>
      <c r="H380" s="19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</row>
    <row r="381" spans="1:34" ht="14.25" hidden="1" customHeight="1">
      <c r="A381" s="19"/>
      <c r="B381" s="19"/>
      <c r="C381" s="19"/>
      <c r="D381" s="5"/>
      <c r="E381" s="5"/>
      <c r="F381" s="19"/>
      <c r="G381" s="5"/>
      <c r="H381" s="19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</row>
    <row r="382" spans="1:34" ht="14.25" hidden="1" customHeight="1">
      <c r="A382" s="19"/>
      <c r="B382" s="19"/>
      <c r="C382" s="19"/>
      <c r="D382" s="5"/>
      <c r="E382" s="5"/>
      <c r="F382" s="19"/>
      <c r="G382" s="5"/>
      <c r="H382" s="19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</row>
    <row r="383" spans="1:34" ht="14.25" hidden="1" customHeight="1">
      <c r="A383" s="19"/>
      <c r="B383" s="19"/>
      <c r="C383" s="19"/>
      <c r="D383" s="5"/>
      <c r="E383" s="5"/>
      <c r="F383" s="19"/>
      <c r="G383" s="5"/>
      <c r="H383" s="19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</row>
    <row r="384" spans="1:34" ht="14.25" hidden="1" customHeight="1">
      <c r="A384" s="19"/>
      <c r="B384" s="19"/>
      <c r="C384" s="19"/>
      <c r="D384" s="5"/>
      <c r="E384" s="5"/>
      <c r="F384" s="19"/>
      <c r="G384" s="5"/>
      <c r="H384" s="19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</row>
    <row r="385" spans="1:34" ht="14.25" hidden="1" customHeight="1">
      <c r="A385" s="19"/>
      <c r="B385" s="19"/>
      <c r="C385" s="19"/>
      <c r="D385" s="5"/>
      <c r="E385" s="5"/>
      <c r="F385" s="19"/>
      <c r="G385" s="5"/>
      <c r="H385" s="19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</row>
    <row r="386" spans="1:34" ht="14.25" hidden="1" customHeight="1">
      <c r="A386" s="19"/>
      <c r="B386" s="19"/>
      <c r="C386" s="19"/>
      <c r="D386" s="5"/>
      <c r="E386" s="5"/>
      <c r="F386" s="19"/>
      <c r="G386" s="5"/>
      <c r="H386" s="19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</row>
    <row r="387" spans="1:34" ht="14.25" hidden="1" customHeight="1">
      <c r="A387" s="19"/>
      <c r="B387" s="19"/>
      <c r="C387" s="19"/>
      <c r="D387" s="5"/>
      <c r="E387" s="5"/>
      <c r="F387" s="19"/>
      <c r="G387" s="5"/>
      <c r="H387" s="19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</row>
    <row r="388" spans="1:34" ht="14.25" hidden="1" customHeight="1">
      <c r="A388" s="19"/>
      <c r="B388" s="19"/>
      <c r="C388" s="19"/>
      <c r="D388" s="5"/>
      <c r="E388" s="5"/>
      <c r="F388" s="19"/>
      <c r="G388" s="5"/>
      <c r="H388" s="19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</row>
    <row r="389" spans="1:34" ht="14.25" hidden="1" customHeight="1">
      <c r="A389" s="19"/>
      <c r="B389" s="19"/>
      <c r="C389" s="19"/>
      <c r="D389" s="5"/>
      <c r="E389" s="5"/>
      <c r="F389" s="19"/>
      <c r="G389" s="5"/>
      <c r="H389" s="19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</row>
    <row r="390" spans="1:34" ht="14.25" hidden="1" customHeight="1">
      <c r="A390" s="19"/>
      <c r="B390" s="19"/>
      <c r="C390" s="19"/>
      <c r="D390" s="5"/>
      <c r="E390" s="5"/>
      <c r="F390" s="19"/>
      <c r="G390" s="5"/>
      <c r="H390" s="19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</row>
    <row r="391" spans="1:34" ht="14.25" hidden="1" customHeight="1">
      <c r="A391" s="19"/>
      <c r="B391" s="19"/>
      <c r="C391" s="19"/>
      <c r="D391" s="5"/>
      <c r="E391" s="5"/>
      <c r="F391" s="19"/>
      <c r="G391" s="5"/>
      <c r="H391" s="19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</row>
    <row r="392" spans="1:34" ht="14.25" hidden="1" customHeight="1">
      <c r="A392" s="19"/>
      <c r="B392" s="19"/>
      <c r="C392" s="19"/>
      <c r="D392" s="5"/>
      <c r="E392" s="5"/>
      <c r="F392" s="19"/>
      <c r="G392" s="5"/>
      <c r="H392" s="19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</row>
    <row r="393" spans="1:34" ht="14.25" hidden="1" customHeight="1">
      <c r="A393" s="19"/>
      <c r="B393" s="19"/>
      <c r="C393" s="19"/>
      <c r="D393" s="5"/>
      <c r="E393" s="5"/>
      <c r="F393" s="19"/>
      <c r="G393" s="5"/>
      <c r="H393" s="19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</row>
    <row r="394" spans="1:34" ht="14.25" hidden="1" customHeight="1">
      <c r="A394" s="19"/>
      <c r="B394" s="19"/>
      <c r="C394" s="19"/>
      <c r="D394" s="5"/>
      <c r="E394" s="5"/>
      <c r="F394" s="19"/>
      <c r="G394" s="5"/>
      <c r="H394" s="19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</row>
    <row r="395" spans="1:34" ht="14.25" hidden="1" customHeight="1">
      <c r="A395" s="19"/>
      <c r="B395" s="19"/>
      <c r="C395" s="19"/>
      <c r="D395" s="5"/>
      <c r="E395" s="5"/>
      <c r="F395" s="19"/>
      <c r="G395" s="5"/>
      <c r="H395" s="19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</row>
    <row r="396" spans="1:34" ht="14.25" hidden="1" customHeight="1">
      <c r="A396" s="19"/>
      <c r="B396" s="19"/>
      <c r="C396" s="19"/>
      <c r="D396" s="5"/>
      <c r="E396" s="5"/>
      <c r="F396" s="19"/>
      <c r="G396" s="5"/>
      <c r="H396" s="19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</row>
    <row r="397" spans="1:34" ht="14.25" hidden="1" customHeight="1">
      <c r="A397" s="19"/>
      <c r="B397" s="19"/>
      <c r="C397" s="19"/>
      <c r="D397" s="5"/>
      <c r="E397" s="5"/>
      <c r="F397" s="19"/>
      <c r="G397" s="5"/>
      <c r="H397" s="19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</row>
    <row r="398" spans="1:34" ht="14.25" hidden="1" customHeight="1">
      <c r="A398" s="19"/>
      <c r="B398" s="19"/>
      <c r="C398" s="19"/>
      <c r="D398" s="5"/>
      <c r="E398" s="5"/>
      <c r="F398" s="19"/>
      <c r="G398" s="5"/>
      <c r="H398" s="19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</row>
    <row r="399" spans="1:34" ht="14.25" hidden="1" customHeight="1">
      <c r="A399" s="19"/>
      <c r="B399" s="19"/>
      <c r="C399" s="19"/>
      <c r="D399" s="5"/>
      <c r="E399" s="5"/>
      <c r="F399" s="19"/>
      <c r="G399" s="5"/>
      <c r="H399" s="19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</row>
    <row r="400" spans="1:34" ht="14.25" hidden="1" customHeight="1">
      <c r="A400" s="19"/>
      <c r="B400" s="19"/>
      <c r="C400" s="19"/>
      <c r="D400" s="5"/>
      <c r="E400" s="5"/>
      <c r="F400" s="19"/>
      <c r="G400" s="5"/>
      <c r="H400" s="19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</row>
    <row r="401" spans="1:34" ht="14.25" hidden="1" customHeight="1">
      <c r="A401" s="19"/>
      <c r="B401" s="19"/>
      <c r="C401" s="19"/>
      <c r="D401" s="5"/>
      <c r="E401" s="5"/>
      <c r="F401" s="19"/>
      <c r="G401" s="5"/>
      <c r="H401" s="19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</row>
    <row r="402" spans="1:34" ht="14.25" hidden="1" customHeight="1">
      <c r="A402" s="19"/>
      <c r="B402" s="19"/>
      <c r="C402" s="19"/>
      <c r="D402" s="5"/>
      <c r="E402" s="5"/>
      <c r="F402" s="19"/>
      <c r="G402" s="5"/>
      <c r="H402" s="19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</row>
    <row r="403" spans="1:34" ht="14.25" hidden="1" customHeight="1">
      <c r="A403" s="19"/>
      <c r="B403" s="19"/>
      <c r="C403" s="19"/>
      <c r="D403" s="5"/>
      <c r="E403" s="5"/>
      <c r="F403" s="19"/>
      <c r="G403" s="5"/>
      <c r="H403" s="19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</row>
    <row r="404" spans="1:34" ht="14.25" hidden="1" customHeight="1">
      <c r="A404" s="19"/>
      <c r="B404" s="19"/>
      <c r="C404" s="19"/>
      <c r="D404" s="5"/>
      <c r="E404" s="5"/>
      <c r="F404" s="19"/>
      <c r="G404" s="5"/>
      <c r="H404" s="19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</row>
    <row r="405" spans="1:34" ht="14.25" hidden="1" customHeight="1">
      <c r="A405" s="19"/>
      <c r="B405" s="19"/>
      <c r="C405" s="19"/>
      <c r="D405" s="5"/>
      <c r="E405" s="5"/>
      <c r="F405" s="19"/>
      <c r="G405" s="5"/>
      <c r="H405" s="19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</row>
    <row r="406" spans="1:34" ht="14.25" hidden="1" customHeight="1">
      <c r="A406" s="19"/>
      <c r="B406" s="19"/>
      <c r="C406" s="19"/>
      <c r="D406" s="5"/>
      <c r="E406" s="5"/>
      <c r="F406" s="19"/>
      <c r="G406" s="5"/>
      <c r="H406" s="19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</row>
    <row r="407" spans="1:34" ht="14.25" hidden="1" customHeight="1">
      <c r="A407" s="19"/>
      <c r="B407" s="19"/>
      <c r="C407" s="19"/>
      <c r="D407" s="5"/>
      <c r="E407" s="5"/>
      <c r="F407" s="19"/>
      <c r="G407" s="5"/>
      <c r="H407" s="19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</row>
    <row r="408" spans="1:34" ht="14.25" hidden="1" customHeight="1">
      <c r="A408" s="19"/>
      <c r="B408" s="19"/>
      <c r="C408" s="19"/>
      <c r="D408" s="5"/>
      <c r="E408" s="5"/>
      <c r="F408" s="19"/>
      <c r="G408" s="5"/>
      <c r="H408" s="19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</row>
    <row r="409" spans="1:34" ht="14.25" hidden="1" customHeight="1">
      <c r="A409" s="19"/>
      <c r="B409" s="19"/>
      <c r="C409" s="19"/>
      <c r="D409" s="5"/>
      <c r="E409" s="5"/>
      <c r="F409" s="19"/>
      <c r="G409" s="5"/>
      <c r="H409" s="19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</row>
    <row r="410" spans="1:34" ht="14.25" hidden="1" customHeight="1">
      <c r="A410" s="19"/>
      <c r="B410" s="19"/>
      <c r="C410" s="19"/>
      <c r="D410" s="5"/>
      <c r="E410" s="5"/>
      <c r="F410" s="19"/>
      <c r="G410" s="5"/>
      <c r="H410" s="19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</row>
    <row r="411" spans="1:34" ht="14.25" hidden="1" customHeight="1">
      <c r="A411" s="19"/>
      <c r="B411" s="19"/>
      <c r="C411" s="19"/>
      <c r="D411" s="5"/>
      <c r="E411" s="5"/>
      <c r="F411" s="19"/>
      <c r="G411" s="5"/>
      <c r="H411" s="19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</row>
    <row r="412" spans="1:34" ht="14.25" hidden="1" customHeight="1">
      <c r="A412" s="19"/>
      <c r="B412" s="19"/>
      <c r="C412" s="19"/>
      <c r="D412" s="5"/>
      <c r="E412" s="5"/>
      <c r="F412" s="19"/>
      <c r="G412" s="5"/>
      <c r="H412" s="19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</row>
    <row r="413" spans="1:34" ht="14.25" hidden="1" customHeight="1">
      <c r="A413" s="19"/>
      <c r="B413" s="19"/>
      <c r="C413" s="19"/>
      <c r="D413" s="5"/>
      <c r="E413" s="5"/>
      <c r="F413" s="19"/>
      <c r="G413" s="5"/>
      <c r="H413" s="19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</row>
    <row r="414" spans="1:34" ht="14.25" hidden="1" customHeight="1">
      <c r="A414" s="19"/>
      <c r="B414" s="19"/>
      <c r="C414" s="19"/>
      <c r="D414" s="5"/>
      <c r="E414" s="5"/>
      <c r="F414" s="19"/>
      <c r="G414" s="5"/>
      <c r="H414" s="19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</row>
    <row r="415" spans="1:34" ht="14.25" hidden="1" customHeight="1">
      <c r="A415" s="19"/>
      <c r="B415" s="19"/>
      <c r="C415" s="19"/>
      <c r="D415" s="5"/>
      <c r="E415" s="5"/>
      <c r="F415" s="19"/>
      <c r="G415" s="5"/>
      <c r="H415" s="19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</row>
    <row r="416" spans="1:34" ht="14.25" hidden="1" customHeight="1">
      <c r="A416" s="19"/>
      <c r="B416" s="19"/>
      <c r="C416" s="19"/>
      <c r="D416" s="5"/>
      <c r="E416" s="5"/>
      <c r="F416" s="19"/>
      <c r="G416" s="5"/>
      <c r="H416" s="19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</row>
    <row r="417" spans="1:34" ht="14.25" hidden="1" customHeight="1">
      <c r="A417" s="19"/>
      <c r="B417" s="19"/>
      <c r="C417" s="19"/>
      <c r="D417" s="5"/>
      <c r="E417" s="5"/>
      <c r="F417" s="19"/>
      <c r="G417" s="5"/>
      <c r="H417" s="19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</row>
    <row r="418" spans="1:34" ht="14.25" hidden="1" customHeight="1">
      <c r="A418" s="19"/>
      <c r="B418" s="19"/>
      <c r="C418" s="19"/>
      <c r="D418" s="5"/>
      <c r="E418" s="5"/>
      <c r="F418" s="19"/>
      <c r="G418" s="5"/>
      <c r="H418" s="19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</row>
    <row r="419" spans="1:34" ht="14.25" hidden="1" customHeight="1">
      <c r="A419" s="19"/>
      <c r="B419" s="19"/>
      <c r="C419" s="19"/>
      <c r="D419" s="5"/>
      <c r="E419" s="5"/>
      <c r="F419" s="19"/>
      <c r="G419" s="5"/>
      <c r="H419" s="19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</row>
    <row r="420" spans="1:34" ht="14.25" hidden="1" customHeight="1">
      <c r="A420" s="19"/>
      <c r="B420" s="19"/>
      <c r="C420" s="19"/>
      <c r="D420" s="5"/>
      <c r="E420" s="5"/>
      <c r="F420" s="19"/>
      <c r="G420" s="5"/>
      <c r="H420" s="19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</row>
    <row r="421" spans="1:34" ht="14.25" hidden="1" customHeight="1">
      <c r="A421" s="19"/>
      <c r="B421" s="19"/>
      <c r="C421" s="19"/>
      <c r="D421" s="5"/>
      <c r="E421" s="5"/>
      <c r="F421" s="19"/>
      <c r="G421" s="5"/>
      <c r="H421" s="19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</row>
    <row r="422" spans="1:34" ht="14.25" hidden="1" customHeight="1">
      <c r="A422" s="19"/>
      <c r="B422" s="19"/>
      <c r="C422" s="19"/>
      <c r="D422" s="5"/>
      <c r="E422" s="5"/>
      <c r="F422" s="19"/>
      <c r="G422" s="5"/>
      <c r="H422" s="19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</row>
    <row r="423" spans="1:34" ht="14.25" hidden="1" customHeight="1">
      <c r="A423" s="19"/>
      <c r="B423" s="19"/>
      <c r="C423" s="19"/>
      <c r="D423" s="5"/>
      <c r="E423" s="5"/>
      <c r="F423" s="19"/>
      <c r="G423" s="5"/>
      <c r="H423" s="19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</row>
    <row r="424" spans="1:34" ht="14.25" hidden="1" customHeight="1">
      <c r="A424" s="19"/>
      <c r="B424" s="19"/>
      <c r="C424" s="19"/>
      <c r="D424" s="5"/>
      <c r="E424" s="5"/>
      <c r="F424" s="19"/>
      <c r="G424" s="5"/>
      <c r="H424" s="19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</row>
    <row r="425" spans="1:34" ht="14.25" hidden="1" customHeight="1">
      <c r="A425" s="19"/>
      <c r="B425" s="19"/>
      <c r="C425" s="19"/>
      <c r="D425" s="5"/>
      <c r="E425" s="5"/>
      <c r="F425" s="19"/>
      <c r="G425" s="5"/>
      <c r="H425" s="19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</row>
    <row r="426" spans="1:34" ht="14.25" hidden="1" customHeight="1">
      <c r="A426" s="19"/>
      <c r="B426" s="19"/>
      <c r="C426" s="19"/>
      <c r="D426" s="5"/>
      <c r="E426" s="5"/>
      <c r="F426" s="19"/>
      <c r="G426" s="5"/>
      <c r="H426" s="19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</row>
    <row r="427" spans="1:34" ht="14.25" hidden="1" customHeight="1">
      <c r="A427" s="19"/>
      <c r="B427" s="19"/>
      <c r="C427" s="19"/>
      <c r="D427" s="5"/>
      <c r="E427" s="5"/>
      <c r="F427" s="19"/>
      <c r="G427" s="5"/>
      <c r="H427" s="19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</row>
    <row r="428" spans="1:34" ht="14.25" hidden="1" customHeight="1">
      <c r="A428" s="19"/>
      <c r="B428" s="19"/>
      <c r="C428" s="19"/>
      <c r="D428" s="5"/>
      <c r="E428" s="5"/>
      <c r="F428" s="19"/>
      <c r="G428" s="5"/>
      <c r="H428" s="19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</row>
    <row r="429" spans="1:34" ht="14.25" hidden="1" customHeight="1">
      <c r="A429" s="19"/>
      <c r="B429" s="19"/>
      <c r="C429" s="19"/>
      <c r="D429" s="5"/>
      <c r="E429" s="5"/>
      <c r="F429" s="19"/>
      <c r="G429" s="5"/>
      <c r="H429" s="19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</row>
    <row r="430" spans="1:34" ht="14.25" hidden="1" customHeight="1">
      <c r="A430" s="19"/>
      <c r="B430" s="19"/>
      <c r="C430" s="19"/>
      <c r="D430" s="5"/>
      <c r="E430" s="5"/>
      <c r="F430" s="19"/>
      <c r="G430" s="5"/>
      <c r="H430" s="19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</row>
    <row r="431" spans="1:34" ht="14.25" hidden="1" customHeight="1">
      <c r="A431" s="19"/>
      <c r="B431" s="19"/>
      <c r="C431" s="19"/>
      <c r="D431" s="5"/>
      <c r="E431" s="5"/>
      <c r="F431" s="19"/>
      <c r="G431" s="5"/>
      <c r="H431" s="19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</row>
    <row r="432" spans="1:34" ht="14.25" hidden="1" customHeight="1">
      <c r="A432" s="19"/>
      <c r="B432" s="19"/>
      <c r="C432" s="19"/>
      <c r="D432" s="5"/>
      <c r="E432" s="5"/>
      <c r="F432" s="19"/>
      <c r="G432" s="5"/>
      <c r="H432" s="19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</row>
    <row r="433" spans="1:34" ht="14.25" hidden="1" customHeight="1">
      <c r="A433" s="19"/>
      <c r="B433" s="19"/>
      <c r="C433" s="19"/>
      <c r="D433" s="5"/>
      <c r="E433" s="5"/>
      <c r="F433" s="19"/>
      <c r="G433" s="5"/>
      <c r="H433" s="19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</row>
    <row r="434" spans="1:34" ht="14.25" hidden="1" customHeight="1">
      <c r="A434" s="19"/>
      <c r="B434" s="19"/>
      <c r="C434" s="19"/>
      <c r="D434" s="5"/>
      <c r="E434" s="5"/>
      <c r="F434" s="19"/>
      <c r="G434" s="5"/>
      <c r="H434" s="19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</row>
    <row r="435" spans="1:34" ht="14.25" hidden="1" customHeight="1">
      <c r="A435" s="19"/>
      <c r="B435" s="19"/>
      <c r="C435" s="19"/>
      <c r="D435" s="5"/>
      <c r="E435" s="5"/>
      <c r="F435" s="19"/>
      <c r="G435" s="5"/>
      <c r="H435" s="19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</row>
    <row r="436" spans="1:34" ht="14.25" hidden="1" customHeight="1">
      <c r="A436" s="19"/>
      <c r="B436" s="19"/>
      <c r="C436" s="19"/>
      <c r="D436" s="5"/>
      <c r="E436" s="5"/>
      <c r="F436" s="19"/>
      <c r="G436" s="5"/>
      <c r="H436" s="19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</row>
    <row r="437" spans="1:34" ht="14.25" hidden="1" customHeight="1">
      <c r="A437" s="19"/>
      <c r="B437" s="19"/>
      <c r="C437" s="19"/>
      <c r="D437" s="5"/>
      <c r="E437" s="5"/>
      <c r="F437" s="19"/>
      <c r="G437" s="5"/>
      <c r="H437" s="19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</row>
    <row r="438" spans="1:34" ht="14.25" hidden="1" customHeight="1">
      <c r="A438" s="19"/>
      <c r="B438" s="19"/>
      <c r="C438" s="19"/>
      <c r="D438" s="5"/>
      <c r="E438" s="5"/>
      <c r="F438" s="19"/>
      <c r="G438" s="5"/>
      <c r="H438" s="19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</row>
    <row r="439" spans="1:34" ht="14.25" hidden="1" customHeight="1">
      <c r="A439" s="19"/>
      <c r="B439" s="19"/>
      <c r="C439" s="19"/>
      <c r="D439" s="5"/>
      <c r="E439" s="5"/>
      <c r="F439" s="19"/>
      <c r="G439" s="5"/>
      <c r="H439" s="19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</row>
    <row r="440" spans="1:34" ht="14.25" hidden="1" customHeight="1">
      <c r="A440" s="19"/>
      <c r="B440" s="19"/>
      <c r="C440" s="19"/>
      <c r="D440" s="5"/>
      <c r="E440" s="5"/>
      <c r="F440" s="19"/>
      <c r="G440" s="5"/>
      <c r="H440" s="19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</row>
    <row r="441" spans="1:34" ht="14.25" hidden="1" customHeight="1">
      <c r="A441" s="19"/>
      <c r="B441" s="19"/>
      <c r="C441" s="19"/>
      <c r="D441" s="5"/>
      <c r="E441" s="5"/>
      <c r="F441" s="19"/>
      <c r="G441" s="5"/>
      <c r="H441" s="19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</row>
    <row r="442" spans="1:34" ht="14.25" hidden="1" customHeight="1">
      <c r="A442" s="19"/>
      <c r="B442" s="19"/>
      <c r="C442" s="19"/>
      <c r="D442" s="5"/>
      <c r="E442" s="5"/>
      <c r="F442" s="19"/>
      <c r="G442" s="5"/>
      <c r="H442" s="19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</row>
    <row r="443" spans="1:34" ht="14.25" hidden="1" customHeight="1">
      <c r="A443" s="19"/>
      <c r="B443" s="19"/>
      <c r="C443" s="19"/>
      <c r="D443" s="5"/>
      <c r="E443" s="5"/>
      <c r="F443" s="19"/>
      <c r="G443" s="5"/>
      <c r="H443" s="19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</row>
    <row r="444" spans="1:34" ht="14.25" hidden="1" customHeight="1">
      <c r="A444" s="19"/>
      <c r="B444" s="19"/>
      <c r="C444" s="19"/>
      <c r="D444" s="5"/>
      <c r="E444" s="5"/>
      <c r="F444" s="19"/>
      <c r="G444" s="5"/>
      <c r="H444" s="19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</row>
    <row r="445" spans="1:34" ht="14.25" hidden="1" customHeight="1">
      <c r="A445" s="19"/>
      <c r="B445" s="19"/>
      <c r="C445" s="19"/>
      <c r="D445" s="5"/>
      <c r="E445" s="5"/>
      <c r="F445" s="19"/>
      <c r="G445" s="5"/>
      <c r="H445" s="19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</row>
    <row r="446" spans="1:34" ht="14.25" hidden="1" customHeight="1">
      <c r="A446" s="19"/>
      <c r="B446" s="19"/>
      <c r="C446" s="19"/>
      <c r="D446" s="5"/>
      <c r="E446" s="5"/>
      <c r="F446" s="19"/>
      <c r="G446" s="5"/>
      <c r="H446" s="19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</row>
    <row r="447" spans="1:34" ht="14.25" hidden="1" customHeight="1">
      <c r="A447" s="19"/>
      <c r="B447" s="19"/>
      <c r="C447" s="19"/>
      <c r="D447" s="5"/>
      <c r="E447" s="5"/>
      <c r="F447" s="19"/>
      <c r="G447" s="5"/>
      <c r="H447" s="19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</row>
    <row r="448" spans="1:34" ht="14.25" hidden="1" customHeight="1">
      <c r="A448" s="19"/>
      <c r="B448" s="19"/>
      <c r="C448" s="19"/>
      <c r="D448" s="5"/>
      <c r="E448" s="5"/>
      <c r="F448" s="19"/>
      <c r="G448" s="5"/>
      <c r="H448" s="19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</row>
    <row r="449" spans="1:34" ht="14.25" hidden="1" customHeight="1">
      <c r="A449" s="19"/>
      <c r="B449" s="19"/>
      <c r="C449" s="19"/>
      <c r="D449" s="5"/>
      <c r="E449" s="5"/>
      <c r="F449" s="19"/>
      <c r="G449" s="5"/>
      <c r="H449" s="19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</row>
    <row r="450" spans="1:34" ht="14.25" hidden="1" customHeight="1">
      <c r="A450" s="19"/>
      <c r="B450" s="19"/>
      <c r="C450" s="19"/>
      <c r="D450" s="5"/>
      <c r="E450" s="5"/>
      <c r="F450" s="19"/>
      <c r="G450" s="5"/>
      <c r="H450" s="19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</row>
    <row r="451" spans="1:34" ht="14.25" hidden="1" customHeight="1">
      <c r="A451" s="19"/>
      <c r="B451" s="19"/>
      <c r="C451" s="19"/>
      <c r="D451" s="5"/>
      <c r="E451" s="5"/>
      <c r="F451" s="19"/>
      <c r="G451" s="5"/>
      <c r="H451" s="19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</row>
    <row r="452" spans="1:34" ht="14.25" hidden="1" customHeight="1">
      <c r="A452" s="19"/>
      <c r="B452" s="19"/>
      <c r="C452" s="19"/>
      <c r="D452" s="5"/>
      <c r="E452" s="5"/>
      <c r="F452" s="19"/>
      <c r="G452" s="5"/>
      <c r="H452" s="19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</row>
    <row r="453" spans="1:34" ht="14.25" hidden="1" customHeight="1">
      <c r="A453" s="19"/>
      <c r="B453" s="19"/>
      <c r="C453" s="19"/>
      <c r="D453" s="5"/>
      <c r="E453" s="5"/>
      <c r="F453" s="19"/>
      <c r="G453" s="5"/>
      <c r="H453" s="19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</row>
    <row r="454" spans="1:34" ht="14.25" hidden="1" customHeight="1">
      <c r="A454" s="19"/>
      <c r="B454" s="19"/>
      <c r="C454" s="19"/>
      <c r="D454" s="5"/>
      <c r="E454" s="5"/>
      <c r="F454" s="19"/>
      <c r="G454" s="5"/>
      <c r="H454" s="19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</row>
    <row r="455" spans="1:34" ht="14.25" hidden="1" customHeight="1">
      <c r="A455" s="19"/>
      <c r="B455" s="19"/>
      <c r="C455" s="19"/>
      <c r="D455" s="5"/>
      <c r="E455" s="5"/>
      <c r="F455" s="19"/>
      <c r="G455" s="5"/>
      <c r="H455" s="19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</row>
    <row r="456" spans="1:34" ht="14.25" hidden="1" customHeight="1">
      <c r="A456" s="19"/>
      <c r="B456" s="19"/>
      <c r="C456" s="19"/>
      <c r="D456" s="5"/>
      <c r="E456" s="5"/>
      <c r="F456" s="19"/>
      <c r="G456" s="5"/>
      <c r="H456" s="19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</row>
    <row r="457" spans="1:34" ht="14.25" hidden="1" customHeight="1">
      <c r="A457" s="19"/>
      <c r="B457" s="19"/>
      <c r="C457" s="19"/>
      <c r="D457" s="5"/>
      <c r="E457" s="5"/>
      <c r="F457" s="19"/>
      <c r="G457" s="5"/>
      <c r="H457" s="19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</row>
    <row r="458" spans="1:34" ht="14.25" hidden="1" customHeight="1">
      <c r="A458" s="19"/>
      <c r="B458" s="19"/>
      <c r="C458" s="19"/>
      <c r="D458" s="5"/>
      <c r="E458" s="5"/>
      <c r="F458" s="19"/>
      <c r="G458" s="5"/>
      <c r="H458" s="19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</row>
    <row r="459" spans="1:34" ht="14.25" hidden="1" customHeight="1">
      <c r="A459" s="19"/>
      <c r="B459" s="19"/>
      <c r="C459" s="19"/>
      <c r="D459" s="5"/>
      <c r="E459" s="5"/>
      <c r="F459" s="19"/>
      <c r="G459" s="5"/>
      <c r="H459" s="19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</row>
    <row r="460" spans="1:34" ht="14.25" hidden="1" customHeight="1">
      <c r="A460" s="19"/>
      <c r="B460" s="19"/>
      <c r="C460" s="19"/>
      <c r="D460" s="5"/>
      <c r="E460" s="5"/>
      <c r="F460" s="19"/>
      <c r="G460" s="5"/>
      <c r="H460" s="19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</row>
    <row r="461" spans="1:34" ht="14.25" hidden="1" customHeight="1">
      <c r="A461" s="19"/>
      <c r="B461" s="19"/>
      <c r="C461" s="19"/>
      <c r="D461" s="5"/>
      <c r="E461" s="5"/>
      <c r="F461" s="19"/>
      <c r="G461" s="5"/>
      <c r="H461" s="19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</row>
    <row r="462" spans="1:34" ht="14.25" hidden="1" customHeight="1">
      <c r="A462" s="19"/>
      <c r="B462" s="19"/>
      <c r="C462" s="19"/>
      <c r="D462" s="5"/>
      <c r="E462" s="5"/>
      <c r="F462" s="19"/>
      <c r="G462" s="5"/>
      <c r="H462" s="19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</row>
    <row r="463" spans="1:34" ht="14.25" hidden="1" customHeight="1">
      <c r="A463" s="19"/>
      <c r="B463" s="19"/>
      <c r="C463" s="19"/>
      <c r="D463" s="5"/>
      <c r="E463" s="5"/>
      <c r="F463" s="19"/>
      <c r="G463" s="5"/>
      <c r="H463" s="19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</row>
    <row r="464" spans="1:34" ht="14.25" hidden="1" customHeight="1">
      <c r="A464" s="19"/>
      <c r="B464" s="19"/>
      <c r="C464" s="19"/>
      <c r="D464" s="5"/>
      <c r="E464" s="5"/>
      <c r="F464" s="19"/>
      <c r="G464" s="5"/>
      <c r="H464" s="19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</row>
    <row r="465" spans="1:34" ht="14.25" hidden="1" customHeight="1">
      <c r="A465" s="19"/>
      <c r="B465" s="19"/>
      <c r="C465" s="19"/>
      <c r="D465" s="5"/>
      <c r="E465" s="5"/>
      <c r="F465" s="19"/>
      <c r="G465" s="5"/>
      <c r="H465" s="19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</row>
    <row r="466" spans="1:34" ht="14.25" hidden="1" customHeight="1">
      <c r="A466" s="19"/>
      <c r="B466" s="19"/>
      <c r="C466" s="19"/>
      <c r="D466" s="5"/>
      <c r="E466" s="5"/>
      <c r="F466" s="19"/>
      <c r="G466" s="5"/>
      <c r="H466" s="19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</row>
    <row r="467" spans="1:34" ht="14.25" hidden="1" customHeight="1">
      <c r="A467" s="19"/>
      <c r="B467" s="19"/>
      <c r="C467" s="19"/>
      <c r="D467" s="5"/>
      <c r="E467" s="5"/>
      <c r="F467" s="19"/>
      <c r="G467" s="5"/>
      <c r="H467" s="19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</row>
    <row r="468" spans="1:34" ht="14.25" hidden="1" customHeight="1">
      <c r="A468" s="19"/>
      <c r="B468" s="19"/>
      <c r="C468" s="19"/>
      <c r="D468" s="5"/>
      <c r="E468" s="5"/>
      <c r="F468" s="19"/>
      <c r="G468" s="5"/>
      <c r="H468" s="19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</row>
    <row r="469" spans="1:34" ht="14.25" hidden="1" customHeight="1">
      <c r="A469" s="19"/>
      <c r="B469" s="19"/>
      <c r="C469" s="19"/>
      <c r="D469" s="5"/>
      <c r="E469" s="5"/>
      <c r="F469" s="19"/>
      <c r="G469" s="5"/>
      <c r="H469" s="19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</row>
    <row r="470" spans="1:34" ht="14.25" hidden="1" customHeight="1">
      <c r="A470" s="19"/>
      <c r="B470" s="19"/>
      <c r="C470" s="19"/>
      <c r="D470" s="5"/>
      <c r="E470" s="5"/>
      <c r="F470" s="19"/>
      <c r="G470" s="5"/>
      <c r="H470" s="19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</row>
    <row r="471" spans="1:34" ht="14.25" hidden="1" customHeight="1">
      <c r="A471" s="19"/>
      <c r="B471" s="19"/>
      <c r="C471" s="19"/>
      <c r="D471" s="5"/>
      <c r="E471" s="5"/>
      <c r="F471" s="19"/>
      <c r="G471" s="5"/>
      <c r="H471" s="19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</row>
    <row r="472" spans="1:34" ht="14.25" hidden="1" customHeight="1">
      <c r="A472" s="19"/>
      <c r="B472" s="19"/>
      <c r="C472" s="19"/>
      <c r="D472" s="5"/>
      <c r="E472" s="5"/>
      <c r="F472" s="19"/>
      <c r="G472" s="5"/>
      <c r="H472" s="19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</row>
    <row r="473" spans="1:34" ht="14.25" hidden="1" customHeight="1">
      <c r="A473" s="19"/>
      <c r="B473" s="19"/>
      <c r="C473" s="19"/>
      <c r="D473" s="5"/>
      <c r="E473" s="5"/>
      <c r="F473" s="19"/>
      <c r="G473" s="5"/>
      <c r="H473" s="19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</row>
    <row r="474" spans="1:34" ht="14.25" hidden="1" customHeight="1">
      <c r="A474" s="19"/>
      <c r="B474" s="19"/>
      <c r="C474" s="19"/>
      <c r="D474" s="5"/>
      <c r="E474" s="5"/>
      <c r="F474" s="19"/>
      <c r="G474" s="5"/>
      <c r="H474" s="19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</row>
    <row r="475" spans="1:34" ht="14.25" hidden="1" customHeight="1">
      <c r="A475" s="19"/>
      <c r="B475" s="19"/>
      <c r="C475" s="19"/>
      <c r="D475" s="5"/>
      <c r="E475" s="5"/>
      <c r="F475" s="19"/>
      <c r="G475" s="5"/>
      <c r="H475" s="19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</row>
    <row r="476" spans="1:34" ht="14.25" hidden="1" customHeight="1">
      <c r="A476" s="19"/>
      <c r="B476" s="19"/>
      <c r="C476" s="19"/>
      <c r="D476" s="5"/>
      <c r="E476" s="5"/>
      <c r="F476" s="19"/>
      <c r="G476" s="5"/>
      <c r="H476" s="19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</row>
    <row r="477" spans="1:34" ht="14.25" hidden="1" customHeight="1">
      <c r="A477" s="19"/>
      <c r="B477" s="19"/>
      <c r="C477" s="19"/>
      <c r="D477" s="5"/>
      <c r="E477" s="5"/>
      <c r="F477" s="19"/>
      <c r="G477" s="5"/>
      <c r="H477" s="19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</row>
    <row r="478" spans="1:34" ht="14.25" hidden="1" customHeight="1">
      <c r="A478" s="19"/>
      <c r="B478" s="19"/>
      <c r="C478" s="19"/>
      <c r="D478" s="5"/>
      <c r="E478" s="5"/>
      <c r="F478" s="19"/>
      <c r="G478" s="5"/>
      <c r="H478" s="19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</row>
    <row r="479" spans="1:34" ht="14.25" hidden="1" customHeight="1">
      <c r="A479" s="19"/>
      <c r="B479" s="19"/>
      <c r="C479" s="19"/>
      <c r="D479" s="5"/>
      <c r="E479" s="5"/>
      <c r="F479" s="19"/>
      <c r="G479" s="5"/>
      <c r="H479" s="19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</row>
    <row r="480" spans="1:34" ht="14.25" hidden="1" customHeight="1">
      <c r="A480" s="19"/>
      <c r="B480" s="19"/>
      <c r="C480" s="19"/>
      <c r="D480" s="5"/>
      <c r="E480" s="5"/>
      <c r="F480" s="19"/>
      <c r="G480" s="5"/>
      <c r="H480" s="19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</row>
    <row r="481" spans="1:34" ht="14.25" hidden="1" customHeight="1">
      <c r="A481" s="19"/>
      <c r="B481" s="19"/>
      <c r="C481" s="19"/>
      <c r="D481" s="5"/>
      <c r="E481" s="5"/>
      <c r="F481" s="19"/>
      <c r="G481" s="5"/>
      <c r="H481" s="19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</row>
    <row r="482" spans="1:34" ht="14.25" hidden="1" customHeight="1">
      <c r="A482" s="19"/>
      <c r="B482" s="19"/>
      <c r="C482" s="19"/>
      <c r="D482" s="5"/>
      <c r="E482" s="5"/>
      <c r="F482" s="19"/>
      <c r="G482" s="5"/>
      <c r="H482" s="19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</row>
    <row r="483" spans="1:34" ht="14.25" hidden="1" customHeight="1">
      <c r="A483" s="19"/>
      <c r="B483" s="19"/>
      <c r="C483" s="19"/>
      <c r="D483" s="5"/>
      <c r="E483" s="5"/>
      <c r="F483" s="19"/>
      <c r="G483" s="5"/>
      <c r="H483" s="19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</row>
    <row r="484" spans="1:34" ht="14.25" hidden="1" customHeight="1">
      <c r="A484" s="19"/>
      <c r="B484" s="19"/>
      <c r="C484" s="19"/>
      <c r="D484" s="5"/>
      <c r="E484" s="5"/>
      <c r="F484" s="19"/>
      <c r="G484" s="5"/>
      <c r="H484" s="19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</row>
    <row r="485" spans="1:34" ht="14.25" hidden="1" customHeight="1">
      <c r="A485" s="19"/>
      <c r="B485" s="19"/>
      <c r="C485" s="19"/>
      <c r="D485" s="5"/>
      <c r="E485" s="5"/>
      <c r="F485" s="19"/>
      <c r="G485" s="5"/>
      <c r="H485" s="19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</row>
    <row r="486" spans="1:34" ht="14.25" hidden="1" customHeight="1">
      <c r="A486" s="19"/>
      <c r="B486" s="19"/>
      <c r="C486" s="19"/>
      <c r="D486" s="5"/>
      <c r="E486" s="5"/>
      <c r="F486" s="19"/>
      <c r="G486" s="5"/>
      <c r="H486" s="19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</row>
    <row r="487" spans="1:34" ht="14.25" hidden="1" customHeight="1">
      <c r="A487" s="19"/>
      <c r="B487" s="19"/>
      <c r="C487" s="19"/>
      <c r="D487" s="5"/>
      <c r="E487" s="5"/>
      <c r="F487" s="19"/>
      <c r="G487" s="5"/>
      <c r="H487" s="19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</row>
    <row r="488" spans="1:34" ht="14.25" hidden="1" customHeight="1">
      <c r="A488" s="19"/>
      <c r="B488" s="19"/>
      <c r="C488" s="19"/>
      <c r="D488" s="5"/>
      <c r="E488" s="5"/>
      <c r="F488" s="19"/>
      <c r="G488" s="5"/>
      <c r="H488" s="19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</row>
    <row r="489" spans="1:34" ht="14.25" hidden="1" customHeight="1">
      <c r="A489" s="19"/>
      <c r="B489" s="19"/>
      <c r="C489" s="19"/>
      <c r="D489" s="5"/>
      <c r="E489" s="5"/>
      <c r="F489" s="19"/>
      <c r="G489" s="5"/>
      <c r="H489" s="19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</row>
    <row r="490" spans="1:34" ht="14.25" hidden="1" customHeight="1">
      <c r="A490" s="19"/>
      <c r="B490" s="19"/>
      <c r="C490" s="19"/>
      <c r="D490" s="5"/>
      <c r="E490" s="5"/>
      <c r="F490" s="19"/>
      <c r="G490" s="5"/>
      <c r="H490" s="19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</row>
    <row r="491" spans="1:34" ht="14.25" hidden="1" customHeight="1">
      <c r="A491" s="19"/>
      <c r="B491" s="19"/>
      <c r="C491" s="19"/>
      <c r="D491" s="5"/>
      <c r="E491" s="5"/>
      <c r="F491" s="19"/>
      <c r="G491" s="5"/>
      <c r="H491" s="19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</row>
    <row r="492" spans="1:34" ht="14.25" hidden="1" customHeight="1">
      <c r="A492" s="19"/>
      <c r="B492" s="19"/>
      <c r="C492" s="19"/>
      <c r="D492" s="5"/>
      <c r="E492" s="5"/>
      <c r="F492" s="19"/>
      <c r="G492" s="5"/>
      <c r="H492" s="19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</row>
    <row r="493" spans="1:34" ht="14.25" hidden="1" customHeight="1">
      <c r="A493" s="19"/>
      <c r="B493" s="19"/>
      <c r="C493" s="19"/>
      <c r="D493" s="5"/>
      <c r="E493" s="5"/>
      <c r="F493" s="19"/>
      <c r="G493" s="5"/>
      <c r="H493" s="19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</row>
    <row r="494" spans="1:34" ht="14.25" hidden="1" customHeight="1">
      <c r="A494" s="19"/>
      <c r="B494" s="19"/>
      <c r="C494" s="19"/>
      <c r="D494" s="5"/>
      <c r="E494" s="5"/>
      <c r="F494" s="19"/>
      <c r="G494" s="5"/>
      <c r="H494" s="19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</row>
    <row r="495" spans="1:34" ht="14.25" hidden="1" customHeight="1">
      <c r="A495" s="19"/>
      <c r="B495" s="19"/>
      <c r="C495" s="19"/>
      <c r="D495" s="5"/>
      <c r="E495" s="5"/>
      <c r="F495" s="19"/>
      <c r="G495" s="5"/>
      <c r="H495" s="19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</row>
    <row r="496" spans="1:34" ht="14.25" hidden="1" customHeight="1">
      <c r="A496" s="19"/>
      <c r="B496" s="19"/>
      <c r="C496" s="19"/>
      <c r="D496" s="5"/>
      <c r="E496" s="5"/>
      <c r="F496" s="19"/>
      <c r="G496" s="5"/>
      <c r="H496" s="19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</row>
    <row r="497" spans="1:34" ht="14.25" hidden="1" customHeight="1">
      <c r="A497" s="19"/>
      <c r="B497" s="19"/>
      <c r="C497" s="19"/>
      <c r="D497" s="5"/>
      <c r="E497" s="5"/>
      <c r="F497" s="19"/>
      <c r="G497" s="5"/>
      <c r="H497" s="19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</row>
    <row r="498" spans="1:34" ht="14.25" hidden="1" customHeight="1">
      <c r="A498" s="19"/>
      <c r="B498" s="19"/>
      <c r="C498" s="19"/>
      <c r="D498" s="5"/>
      <c r="E498" s="5"/>
      <c r="F498" s="19"/>
      <c r="G498" s="5"/>
      <c r="H498" s="19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</row>
    <row r="499" spans="1:34" ht="14.25" hidden="1" customHeight="1">
      <c r="A499" s="19"/>
      <c r="B499" s="19"/>
      <c r="C499" s="19"/>
      <c r="D499" s="5"/>
      <c r="E499" s="5"/>
      <c r="F499" s="19"/>
      <c r="G499" s="5"/>
      <c r="H499" s="19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</row>
    <row r="500" spans="1:34" ht="14.25" hidden="1" customHeight="1">
      <c r="A500" s="19"/>
      <c r="B500" s="19"/>
      <c r="C500" s="19"/>
      <c r="D500" s="5"/>
      <c r="E500" s="5"/>
      <c r="F500" s="19"/>
      <c r="G500" s="5"/>
      <c r="H500" s="19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</row>
    <row r="501" spans="1:34" ht="14.25" hidden="1" customHeight="1">
      <c r="A501" s="19"/>
      <c r="B501" s="19"/>
      <c r="C501" s="19"/>
      <c r="D501" s="5"/>
      <c r="E501" s="5"/>
      <c r="F501" s="19"/>
      <c r="G501" s="5"/>
      <c r="H501" s="19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</row>
    <row r="502" spans="1:34" ht="14.25" hidden="1" customHeight="1">
      <c r="A502" s="19"/>
      <c r="B502" s="19"/>
      <c r="C502" s="19"/>
      <c r="D502" s="5"/>
      <c r="E502" s="5"/>
      <c r="F502" s="19"/>
      <c r="G502" s="5"/>
      <c r="H502" s="19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</row>
    <row r="503" spans="1:34" ht="14.25" hidden="1" customHeight="1">
      <c r="A503" s="19"/>
      <c r="B503" s="19"/>
      <c r="C503" s="19"/>
      <c r="D503" s="5"/>
      <c r="E503" s="5"/>
      <c r="F503" s="19"/>
      <c r="G503" s="5"/>
      <c r="H503" s="19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</row>
    <row r="504" spans="1:34" ht="14.25" hidden="1" customHeight="1">
      <c r="A504" s="19"/>
      <c r="B504" s="19"/>
      <c r="C504" s="19"/>
      <c r="D504" s="5"/>
      <c r="E504" s="5"/>
      <c r="F504" s="19"/>
      <c r="G504" s="5"/>
      <c r="H504" s="19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</row>
    <row r="505" spans="1:34" ht="14.25" hidden="1" customHeight="1">
      <c r="A505" s="19"/>
      <c r="B505" s="19"/>
      <c r="C505" s="19"/>
      <c r="D505" s="5"/>
      <c r="E505" s="5"/>
      <c r="F505" s="19"/>
      <c r="G505" s="5"/>
      <c r="H505" s="19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</row>
    <row r="506" spans="1:34" ht="14.25" hidden="1" customHeight="1">
      <c r="A506" s="19"/>
      <c r="B506" s="19"/>
      <c r="C506" s="19"/>
      <c r="D506" s="5"/>
      <c r="E506" s="5"/>
      <c r="F506" s="19"/>
      <c r="G506" s="5"/>
      <c r="H506" s="19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</row>
    <row r="507" spans="1:34" ht="14.25" hidden="1" customHeight="1">
      <c r="A507" s="19"/>
      <c r="B507" s="19"/>
      <c r="C507" s="19"/>
      <c r="D507" s="5"/>
      <c r="E507" s="5"/>
      <c r="F507" s="19"/>
      <c r="G507" s="5"/>
      <c r="H507" s="19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</row>
    <row r="508" spans="1:34" ht="14.25" hidden="1" customHeight="1">
      <c r="A508" s="19"/>
      <c r="B508" s="19"/>
      <c r="C508" s="19"/>
      <c r="D508" s="5"/>
      <c r="E508" s="5"/>
      <c r="F508" s="19"/>
      <c r="G508" s="5"/>
      <c r="H508" s="19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</row>
    <row r="509" spans="1:34" ht="14.25" hidden="1" customHeight="1">
      <c r="A509" s="19"/>
      <c r="B509" s="19"/>
      <c r="C509" s="19"/>
      <c r="D509" s="5"/>
      <c r="E509" s="5"/>
      <c r="F509" s="19"/>
      <c r="G509" s="5"/>
      <c r="H509" s="19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</row>
    <row r="510" spans="1:34" ht="14.25" hidden="1" customHeight="1">
      <c r="A510" s="19"/>
      <c r="B510" s="19"/>
      <c r="C510" s="19"/>
      <c r="D510" s="5"/>
      <c r="E510" s="5"/>
      <c r="F510" s="19"/>
      <c r="G510" s="5"/>
      <c r="H510" s="19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</row>
    <row r="511" spans="1:34" ht="14.25" hidden="1" customHeight="1">
      <c r="A511" s="19"/>
      <c r="B511" s="19"/>
      <c r="C511" s="19"/>
      <c r="D511" s="5"/>
      <c r="E511" s="5"/>
      <c r="F511" s="19"/>
      <c r="G511" s="5"/>
      <c r="H511" s="19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</row>
    <row r="512" spans="1:34" ht="14.25" hidden="1" customHeight="1">
      <c r="A512" s="19"/>
      <c r="B512" s="19"/>
      <c r="C512" s="19"/>
      <c r="D512" s="5"/>
      <c r="E512" s="5"/>
      <c r="F512" s="19"/>
      <c r="G512" s="5"/>
      <c r="H512" s="19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</row>
    <row r="513" spans="1:34" ht="14.25" hidden="1" customHeight="1">
      <c r="A513" s="19"/>
      <c r="B513" s="19"/>
      <c r="C513" s="19"/>
      <c r="D513" s="5"/>
      <c r="E513" s="5"/>
      <c r="F513" s="19"/>
      <c r="G513" s="5"/>
      <c r="H513" s="19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</row>
    <row r="514" spans="1:34" ht="14.25" hidden="1" customHeight="1">
      <c r="A514" s="19"/>
      <c r="B514" s="19"/>
      <c r="C514" s="19"/>
      <c r="D514" s="5"/>
      <c r="E514" s="5"/>
      <c r="F514" s="19"/>
      <c r="G514" s="5"/>
      <c r="H514" s="19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</row>
    <row r="515" spans="1:34" ht="14.25" hidden="1" customHeight="1">
      <c r="A515" s="19"/>
      <c r="B515" s="19"/>
      <c r="C515" s="19"/>
      <c r="D515" s="5"/>
      <c r="E515" s="5"/>
      <c r="F515" s="19"/>
      <c r="G515" s="5"/>
      <c r="H515" s="19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</row>
    <row r="516" spans="1:34" ht="14.25" hidden="1" customHeight="1">
      <c r="A516" s="19"/>
      <c r="B516" s="19"/>
      <c r="C516" s="19"/>
      <c r="D516" s="5"/>
      <c r="E516" s="5"/>
      <c r="F516" s="19"/>
      <c r="G516" s="5"/>
      <c r="H516" s="19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</row>
    <row r="517" spans="1:34" ht="14.25" hidden="1" customHeight="1">
      <c r="A517" s="19"/>
      <c r="B517" s="19"/>
      <c r="C517" s="19"/>
      <c r="D517" s="5"/>
      <c r="E517" s="5"/>
      <c r="F517" s="19"/>
      <c r="G517" s="5"/>
      <c r="H517" s="19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</row>
    <row r="518" spans="1:34" ht="14.25" hidden="1" customHeight="1">
      <c r="A518" s="19"/>
      <c r="B518" s="19"/>
      <c r="C518" s="19"/>
      <c r="D518" s="5"/>
      <c r="E518" s="5"/>
      <c r="F518" s="19"/>
      <c r="G518" s="5"/>
      <c r="H518" s="19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</row>
    <row r="519" spans="1:34" ht="14.25" hidden="1" customHeight="1">
      <c r="A519" s="19"/>
      <c r="B519" s="19"/>
      <c r="C519" s="19"/>
      <c r="D519" s="5"/>
      <c r="E519" s="5"/>
      <c r="F519" s="19"/>
      <c r="G519" s="5"/>
      <c r="H519" s="19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</row>
    <row r="520" spans="1:34" ht="14.25" hidden="1" customHeight="1">
      <c r="A520" s="19"/>
      <c r="B520" s="19"/>
      <c r="C520" s="19"/>
      <c r="D520" s="5"/>
      <c r="E520" s="5"/>
      <c r="F520" s="19"/>
      <c r="G520" s="5"/>
      <c r="H520" s="19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</row>
    <row r="521" spans="1:34" ht="14.25" hidden="1" customHeight="1">
      <c r="A521" s="19"/>
      <c r="B521" s="19"/>
      <c r="C521" s="19"/>
      <c r="D521" s="5"/>
      <c r="E521" s="5"/>
      <c r="F521" s="19"/>
      <c r="G521" s="5"/>
      <c r="H521" s="19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</row>
    <row r="522" spans="1:34" ht="14.25" hidden="1" customHeight="1">
      <c r="A522" s="19"/>
      <c r="B522" s="19"/>
      <c r="C522" s="19"/>
      <c r="D522" s="5"/>
      <c r="E522" s="5"/>
      <c r="F522" s="19"/>
      <c r="G522" s="5"/>
      <c r="H522" s="19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</row>
    <row r="523" spans="1:34" ht="14.25" hidden="1" customHeight="1">
      <c r="A523" s="19"/>
      <c r="B523" s="19"/>
      <c r="C523" s="19"/>
      <c r="D523" s="5"/>
      <c r="E523" s="5"/>
      <c r="F523" s="19"/>
      <c r="G523" s="5"/>
      <c r="H523" s="19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</row>
    <row r="524" spans="1:34" ht="14.25" hidden="1" customHeight="1">
      <c r="A524" s="19"/>
      <c r="B524" s="19"/>
      <c r="C524" s="19"/>
      <c r="D524" s="5"/>
      <c r="E524" s="5"/>
      <c r="F524" s="19"/>
      <c r="G524" s="5"/>
      <c r="H524" s="19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</row>
    <row r="525" spans="1:34" ht="14.25" hidden="1" customHeight="1">
      <c r="A525" s="19"/>
      <c r="B525" s="19"/>
      <c r="C525" s="19"/>
      <c r="D525" s="5"/>
      <c r="E525" s="5"/>
      <c r="F525" s="19"/>
      <c r="G525" s="5"/>
      <c r="H525" s="19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</row>
    <row r="526" spans="1:34" ht="14.25" hidden="1" customHeight="1">
      <c r="A526" s="19"/>
      <c r="B526" s="19"/>
      <c r="C526" s="19"/>
      <c r="D526" s="5"/>
      <c r="E526" s="5"/>
      <c r="F526" s="19"/>
      <c r="G526" s="5"/>
      <c r="H526" s="19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</row>
    <row r="527" spans="1:34" ht="14.25" hidden="1" customHeight="1">
      <c r="A527" s="19"/>
      <c r="B527" s="19"/>
      <c r="C527" s="19"/>
      <c r="D527" s="5"/>
      <c r="E527" s="5"/>
      <c r="F527" s="19"/>
      <c r="G527" s="5"/>
      <c r="H527" s="19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</row>
    <row r="528" spans="1:34" ht="14.25" hidden="1" customHeight="1">
      <c r="A528" s="19"/>
      <c r="B528" s="19"/>
      <c r="C528" s="19"/>
      <c r="D528" s="5"/>
      <c r="E528" s="5"/>
      <c r="F528" s="19"/>
      <c r="G528" s="5"/>
      <c r="H528" s="19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</row>
    <row r="529" spans="1:34" ht="14.25" hidden="1" customHeight="1">
      <c r="A529" s="19"/>
      <c r="B529" s="19"/>
      <c r="C529" s="19"/>
      <c r="D529" s="5"/>
      <c r="E529" s="5"/>
      <c r="F529" s="19"/>
      <c r="G529" s="5"/>
      <c r="H529" s="19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</row>
    <row r="530" spans="1:34" ht="14.25" hidden="1" customHeight="1">
      <c r="A530" s="19"/>
      <c r="B530" s="19"/>
      <c r="C530" s="19"/>
      <c r="D530" s="5"/>
      <c r="E530" s="5"/>
      <c r="F530" s="19"/>
      <c r="G530" s="5"/>
      <c r="H530" s="19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</row>
    <row r="531" spans="1:34" ht="14.25" hidden="1" customHeight="1">
      <c r="A531" s="19"/>
      <c r="B531" s="19"/>
      <c r="C531" s="19"/>
      <c r="D531" s="5"/>
      <c r="E531" s="5"/>
      <c r="F531" s="19"/>
      <c r="G531" s="5"/>
      <c r="H531" s="19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</row>
    <row r="532" spans="1:34" ht="14.25" hidden="1" customHeight="1">
      <c r="A532" s="19"/>
      <c r="B532" s="19"/>
      <c r="C532" s="19"/>
      <c r="D532" s="5"/>
      <c r="E532" s="5"/>
      <c r="F532" s="19"/>
      <c r="G532" s="5"/>
      <c r="H532" s="19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</row>
    <row r="533" spans="1:34" ht="14.25" hidden="1" customHeight="1">
      <c r="A533" s="19"/>
      <c r="B533" s="19"/>
      <c r="C533" s="19"/>
      <c r="D533" s="5"/>
      <c r="E533" s="5"/>
      <c r="F533" s="19"/>
      <c r="G533" s="5"/>
      <c r="H533" s="19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</row>
    <row r="534" spans="1:34" ht="14.25" hidden="1" customHeight="1">
      <c r="A534" s="19"/>
      <c r="B534" s="19"/>
      <c r="C534" s="19"/>
      <c r="D534" s="5"/>
      <c r="E534" s="5"/>
      <c r="F534" s="19"/>
      <c r="G534" s="5"/>
      <c r="H534" s="19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</row>
    <row r="535" spans="1:34" ht="14.25" hidden="1" customHeight="1">
      <c r="A535" s="19"/>
      <c r="B535" s="19"/>
      <c r="C535" s="19"/>
      <c r="D535" s="5"/>
      <c r="E535" s="5"/>
      <c r="F535" s="19"/>
      <c r="G535" s="5"/>
      <c r="H535" s="19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</row>
    <row r="536" spans="1:34" ht="14.25" hidden="1" customHeight="1">
      <c r="A536" s="19"/>
      <c r="B536" s="19"/>
      <c r="C536" s="19"/>
      <c r="D536" s="5"/>
      <c r="E536" s="5"/>
      <c r="F536" s="19"/>
      <c r="G536" s="5"/>
      <c r="H536" s="19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</row>
    <row r="537" spans="1:34" ht="14.25" hidden="1" customHeight="1">
      <c r="A537" s="19"/>
      <c r="B537" s="19"/>
      <c r="C537" s="19"/>
      <c r="D537" s="5"/>
      <c r="E537" s="5"/>
      <c r="F537" s="19"/>
      <c r="G537" s="5"/>
      <c r="H537" s="19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</row>
    <row r="538" spans="1:34" ht="14.25" hidden="1" customHeight="1">
      <c r="A538" s="19"/>
      <c r="B538" s="19"/>
      <c r="C538" s="19"/>
      <c r="D538" s="5"/>
      <c r="E538" s="5"/>
      <c r="F538" s="19"/>
      <c r="G538" s="5"/>
      <c r="H538" s="19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</row>
    <row r="539" spans="1:34" ht="14.25" hidden="1" customHeight="1">
      <c r="A539" s="19"/>
      <c r="B539" s="19"/>
      <c r="C539" s="19"/>
      <c r="D539" s="5"/>
      <c r="E539" s="5"/>
      <c r="F539" s="19"/>
      <c r="G539" s="5"/>
      <c r="H539" s="19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</row>
    <row r="540" spans="1:34" ht="14.25" hidden="1" customHeight="1">
      <c r="A540" s="19"/>
      <c r="B540" s="19"/>
      <c r="C540" s="19"/>
      <c r="D540" s="5"/>
      <c r="E540" s="5"/>
      <c r="F540" s="19"/>
      <c r="G540" s="5"/>
      <c r="H540" s="19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</row>
    <row r="541" spans="1:34" ht="14.25" hidden="1" customHeight="1">
      <c r="A541" s="19"/>
      <c r="B541" s="19"/>
      <c r="C541" s="19"/>
      <c r="D541" s="5"/>
      <c r="E541" s="5"/>
      <c r="F541" s="19"/>
      <c r="G541" s="5"/>
      <c r="H541" s="19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</row>
    <row r="542" spans="1:34" ht="14.25" hidden="1" customHeight="1">
      <c r="A542" s="19"/>
      <c r="B542" s="19"/>
      <c r="C542" s="19"/>
      <c r="D542" s="5"/>
      <c r="E542" s="5"/>
      <c r="F542" s="19"/>
      <c r="G542" s="5"/>
      <c r="H542" s="19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</row>
    <row r="543" spans="1:34" ht="14.25" hidden="1" customHeight="1">
      <c r="A543" s="19"/>
      <c r="B543" s="19"/>
      <c r="C543" s="19"/>
      <c r="D543" s="5"/>
      <c r="E543" s="5"/>
      <c r="F543" s="19"/>
      <c r="G543" s="5"/>
      <c r="H543" s="19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</row>
    <row r="544" spans="1:34" ht="14.25" hidden="1" customHeight="1">
      <c r="A544" s="19"/>
      <c r="B544" s="19"/>
      <c r="C544" s="19"/>
      <c r="D544" s="5"/>
      <c r="E544" s="5"/>
      <c r="F544" s="19"/>
      <c r="G544" s="5"/>
      <c r="H544" s="19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</row>
    <row r="545" spans="1:34" ht="14.25" hidden="1" customHeight="1">
      <c r="A545" s="19"/>
      <c r="B545" s="19"/>
      <c r="C545" s="19"/>
      <c r="D545" s="5"/>
      <c r="E545" s="5"/>
      <c r="F545" s="19"/>
      <c r="G545" s="5"/>
      <c r="H545" s="19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</row>
    <row r="546" spans="1:34" ht="14.25" hidden="1" customHeight="1">
      <c r="A546" s="19"/>
      <c r="B546" s="19"/>
      <c r="C546" s="19"/>
      <c r="D546" s="5"/>
      <c r="E546" s="5"/>
      <c r="F546" s="19"/>
      <c r="G546" s="5"/>
      <c r="H546" s="19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</row>
    <row r="547" spans="1:34" ht="14.25" hidden="1" customHeight="1">
      <c r="A547" s="19"/>
      <c r="B547" s="19"/>
      <c r="C547" s="19"/>
      <c r="D547" s="5"/>
      <c r="E547" s="5"/>
      <c r="F547" s="19"/>
      <c r="G547" s="5"/>
      <c r="H547" s="19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</row>
    <row r="548" spans="1:34" ht="14.25" hidden="1" customHeight="1">
      <c r="A548" s="19"/>
      <c r="B548" s="19"/>
      <c r="C548" s="19"/>
      <c r="D548" s="5"/>
      <c r="E548" s="5"/>
      <c r="F548" s="19"/>
      <c r="G548" s="5"/>
      <c r="H548" s="19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</row>
    <row r="549" spans="1:34" ht="14.25" hidden="1" customHeight="1">
      <c r="A549" s="19"/>
      <c r="B549" s="19"/>
      <c r="C549" s="19"/>
      <c r="D549" s="5"/>
      <c r="E549" s="5"/>
      <c r="F549" s="19"/>
      <c r="G549" s="5"/>
      <c r="H549" s="19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</row>
    <row r="550" spans="1:34" ht="14.25" hidden="1" customHeight="1">
      <c r="A550" s="19"/>
      <c r="B550" s="19"/>
      <c r="C550" s="19"/>
      <c r="D550" s="5"/>
      <c r="E550" s="5"/>
      <c r="F550" s="19"/>
      <c r="G550" s="5"/>
      <c r="H550" s="19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</row>
    <row r="551" spans="1:34" ht="14.25" hidden="1" customHeight="1">
      <c r="A551" s="19"/>
      <c r="B551" s="19"/>
      <c r="C551" s="19"/>
      <c r="D551" s="5"/>
      <c r="E551" s="5"/>
      <c r="F551" s="19"/>
      <c r="G551" s="5"/>
      <c r="H551" s="19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</row>
    <row r="552" spans="1:34" ht="14.25" hidden="1" customHeight="1">
      <c r="A552" s="19"/>
      <c r="B552" s="19"/>
      <c r="C552" s="19"/>
      <c r="D552" s="5"/>
      <c r="E552" s="5"/>
      <c r="F552" s="19"/>
      <c r="G552" s="5"/>
      <c r="H552" s="19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</row>
    <row r="553" spans="1:34" ht="14.25" hidden="1" customHeight="1">
      <c r="A553" s="19"/>
      <c r="B553" s="19"/>
      <c r="C553" s="19"/>
      <c r="D553" s="5"/>
      <c r="E553" s="5"/>
      <c r="F553" s="19"/>
      <c r="G553" s="5"/>
      <c r="H553" s="19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</row>
    <row r="554" spans="1:34" ht="14.25" hidden="1" customHeight="1">
      <c r="A554" s="19"/>
      <c r="B554" s="19"/>
      <c r="C554" s="19"/>
      <c r="D554" s="5"/>
      <c r="E554" s="5"/>
      <c r="F554" s="19"/>
      <c r="G554" s="5"/>
      <c r="H554" s="19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</row>
    <row r="555" spans="1:34" ht="14.25" hidden="1" customHeight="1">
      <c r="A555" s="19"/>
      <c r="B555" s="19"/>
      <c r="C555" s="19"/>
      <c r="D555" s="5"/>
      <c r="E555" s="5"/>
      <c r="F555" s="19"/>
      <c r="G555" s="5"/>
      <c r="H555" s="19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</row>
    <row r="556" spans="1:34" ht="14.25" hidden="1" customHeight="1">
      <c r="A556" s="19"/>
      <c r="B556" s="19"/>
      <c r="C556" s="19"/>
      <c r="D556" s="5"/>
      <c r="E556" s="5"/>
      <c r="F556" s="19"/>
      <c r="G556" s="5"/>
      <c r="H556" s="19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</row>
    <row r="557" spans="1:34" ht="14.25" hidden="1" customHeight="1">
      <c r="A557" s="19"/>
      <c r="B557" s="19"/>
      <c r="C557" s="19"/>
      <c r="D557" s="5"/>
      <c r="E557" s="5"/>
      <c r="F557" s="19"/>
      <c r="G557" s="5"/>
      <c r="H557" s="19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</row>
    <row r="558" spans="1:34" ht="14.25" hidden="1" customHeight="1">
      <c r="A558" s="19"/>
      <c r="B558" s="19"/>
      <c r="C558" s="19"/>
      <c r="D558" s="5"/>
      <c r="E558" s="5"/>
      <c r="F558" s="19"/>
      <c r="G558" s="5"/>
      <c r="H558" s="19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</row>
    <row r="559" spans="1:34" ht="14.25" hidden="1" customHeight="1">
      <c r="A559" s="19"/>
      <c r="B559" s="19"/>
      <c r="C559" s="19"/>
      <c r="D559" s="5"/>
      <c r="E559" s="5"/>
      <c r="F559" s="19"/>
      <c r="G559" s="5"/>
      <c r="H559" s="19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</row>
    <row r="560" spans="1:34" ht="14.25" hidden="1" customHeight="1">
      <c r="A560" s="19"/>
      <c r="B560" s="19"/>
      <c r="C560" s="19"/>
      <c r="D560" s="5"/>
      <c r="E560" s="5"/>
      <c r="F560" s="19"/>
      <c r="G560" s="5"/>
      <c r="H560" s="19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</row>
    <row r="561" spans="1:34" ht="14.25" hidden="1" customHeight="1">
      <c r="A561" s="19"/>
      <c r="B561" s="19"/>
      <c r="C561" s="19"/>
      <c r="D561" s="5"/>
      <c r="E561" s="5"/>
      <c r="F561" s="19"/>
      <c r="G561" s="5"/>
      <c r="H561" s="19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</row>
    <row r="562" spans="1:34" ht="14.25" hidden="1" customHeight="1">
      <c r="A562" s="19"/>
      <c r="B562" s="19"/>
      <c r="C562" s="19"/>
      <c r="D562" s="5"/>
      <c r="E562" s="5"/>
      <c r="F562" s="19"/>
      <c r="G562" s="5"/>
      <c r="H562" s="19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</row>
    <row r="563" spans="1:34" ht="14.25" hidden="1" customHeight="1">
      <c r="A563" s="19"/>
      <c r="B563" s="19"/>
      <c r="C563" s="19"/>
      <c r="D563" s="5"/>
      <c r="E563" s="5"/>
      <c r="F563" s="19"/>
      <c r="G563" s="5"/>
      <c r="H563" s="19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</row>
    <row r="564" spans="1:34" ht="14.25" hidden="1" customHeight="1">
      <c r="A564" s="19"/>
      <c r="B564" s="19"/>
      <c r="C564" s="19"/>
      <c r="D564" s="5"/>
      <c r="E564" s="5"/>
      <c r="F564" s="19"/>
      <c r="G564" s="5"/>
      <c r="H564" s="19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</row>
    <row r="565" spans="1:34" ht="14.25" hidden="1" customHeight="1">
      <c r="A565" s="19"/>
      <c r="B565" s="19"/>
      <c r="C565" s="19"/>
      <c r="D565" s="5"/>
      <c r="E565" s="5"/>
      <c r="F565" s="19"/>
      <c r="G565" s="5"/>
      <c r="H565" s="19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</row>
    <row r="566" spans="1:34" ht="14.25" hidden="1" customHeight="1">
      <c r="A566" s="19"/>
      <c r="B566" s="19"/>
      <c r="C566" s="19"/>
      <c r="D566" s="5"/>
      <c r="E566" s="5"/>
      <c r="F566" s="19"/>
      <c r="G566" s="5"/>
      <c r="H566" s="19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</row>
    <row r="567" spans="1:34" ht="14.25" hidden="1" customHeight="1">
      <c r="A567" s="19"/>
      <c r="B567" s="19"/>
      <c r="C567" s="19"/>
      <c r="D567" s="5"/>
      <c r="E567" s="5"/>
      <c r="F567" s="19"/>
      <c r="G567" s="5"/>
      <c r="H567" s="19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</row>
    <row r="568" spans="1:34" ht="14.25" hidden="1" customHeight="1">
      <c r="A568" s="19"/>
      <c r="B568" s="19"/>
      <c r="C568" s="19"/>
      <c r="D568" s="5"/>
      <c r="E568" s="5"/>
      <c r="F568" s="19"/>
      <c r="G568" s="5"/>
      <c r="H568" s="19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</row>
    <row r="569" spans="1:34" ht="14.25" hidden="1" customHeight="1">
      <c r="A569" s="19"/>
      <c r="B569" s="19"/>
      <c r="C569" s="19"/>
      <c r="D569" s="5"/>
      <c r="E569" s="5"/>
      <c r="F569" s="19"/>
      <c r="G569" s="5"/>
      <c r="H569" s="19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</row>
    <row r="570" spans="1:34" ht="14.25" hidden="1" customHeight="1">
      <c r="A570" s="19"/>
      <c r="B570" s="19"/>
      <c r="C570" s="19"/>
      <c r="D570" s="5"/>
      <c r="E570" s="5"/>
      <c r="F570" s="19"/>
      <c r="G570" s="5"/>
      <c r="H570" s="19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</row>
    <row r="571" spans="1:34" ht="14.25" hidden="1" customHeight="1">
      <c r="A571" s="19"/>
      <c r="B571" s="19"/>
      <c r="C571" s="19"/>
      <c r="D571" s="5"/>
      <c r="E571" s="5"/>
      <c r="F571" s="19"/>
      <c r="G571" s="5"/>
      <c r="H571" s="19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</row>
    <row r="572" spans="1:34" ht="14.25" hidden="1" customHeight="1">
      <c r="A572" s="19"/>
      <c r="B572" s="19"/>
      <c r="C572" s="19"/>
      <c r="D572" s="5"/>
      <c r="E572" s="5"/>
      <c r="F572" s="19"/>
      <c r="G572" s="5"/>
      <c r="H572" s="19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</row>
    <row r="573" spans="1:34" ht="14.25" hidden="1" customHeight="1">
      <c r="A573" s="19"/>
      <c r="B573" s="19"/>
      <c r="C573" s="19"/>
      <c r="D573" s="5"/>
      <c r="E573" s="5"/>
      <c r="F573" s="19"/>
      <c r="G573" s="5"/>
      <c r="H573" s="19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</row>
    <row r="574" spans="1:34" ht="14.25" hidden="1" customHeight="1">
      <c r="A574" s="19"/>
      <c r="B574" s="19"/>
      <c r="C574" s="19"/>
      <c r="D574" s="5"/>
      <c r="E574" s="5"/>
      <c r="F574" s="19"/>
      <c r="G574" s="5"/>
      <c r="H574" s="19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</row>
    <row r="575" spans="1:34" ht="14.25" hidden="1" customHeight="1">
      <c r="A575" s="19"/>
      <c r="B575" s="19"/>
      <c r="C575" s="19"/>
      <c r="D575" s="5"/>
      <c r="E575" s="5"/>
      <c r="F575" s="19"/>
      <c r="G575" s="5"/>
      <c r="H575" s="19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</row>
    <row r="576" spans="1:34" ht="14.25" hidden="1" customHeight="1">
      <c r="A576" s="19"/>
      <c r="B576" s="19"/>
      <c r="C576" s="19"/>
      <c r="D576" s="5"/>
      <c r="E576" s="5"/>
      <c r="F576" s="19"/>
      <c r="G576" s="5"/>
      <c r="H576" s="19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</row>
    <row r="577" spans="1:34" ht="14.25" hidden="1" customHeight="1">
      <c r="A577" s="19"/>
      <c r="B577" s="19"/>
      <c r="C577" s="19"/>
      <c r="D577" s="5"/>
      <c r="E577" s="5"/>
      <c r="F577" s="19"/>
      <c r="G577" s="5"/>
      <c r="H577" s="19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</row>
    <row r="578" spans="1:34" ht="14.25" hidden="1" customHeight="1">
      <c r="A578" s="19"/>
      <c r="B578" s="19"/>
      <c r="C578" s="19"/>
      <c r="D578" s="5"/>
      <c r="E578" s="5"/>
      <c r="F578" s="19"/>
      <c r="G578" s="5"/>
      <c r="H578" s="19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</row>
    <row r="579" spans="1:34" ht="14.25" hidden="1" customHeight="1">
      <c r="A579" s="19"/>
      <c r="B579" s="19"/>
      <c r="C579" s="19"/>
      <c r="D579" s="5"/>
      <c r="E579" s="5"/>
      <c r="F579" s="19"/>
      <c r="G579" s="5"/>
      <c r="H579" s="19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</row>
    <row r="580" spans="1:34" ht="14.25" hidden="1" customHeight="1">
      <c r="A580" s="19"/>
      <c r="B580" s="19"/>
      <c r="C580" s="19"/>
      <c r="D580" s="5"/>
      <c r="E580" s="5"/>
      <c r="F580" s="19"/>
      <c r="G580" s="5"/>
      <c r="H580" s="19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</row>
    <row r="581" spans="1:34" ht="14.25" hidden="1" customHeight="1">
      <c r="A581" s="19"/>
      <c r="B581" s="19"/>
      <c r="C581" s="19"/>
      <c r="D581" s="5"/>
      <c r="E581" s="5"/>
      <c r="F581" s="19"/>
      <c r="G581" s="5"/>
      <c r="H581" s="19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</row>
    <row r="582" spans="1:34" ht="14.25" hidden="1" customHeight="1">
      <c r="A582" s="19"/>
      <c r="B582" s="19"/>
      <c r="C582" s="19"/>
      <c r="D582" s="5"/>
      <c r="E582" s="5"/>
      <c r="F582" s="19"/>
      <c r="G582" s="5"/>
      <c r="H582" s="19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</row>
    <row r="583" spans="1:34" ht="14.25" hidden="1" customHeight="1">
      <c r="A583" s="19"/>
      <c r="B583" s="19"/>
      <c r="C583" s="19"/>
      <c r="D583" s="5"/>
      <c r="E583" s="5"/>
      <c r="F583" s="19"/>
      <c r="G583" s="5"/>
      <c r="H583" s="19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</row>
    <row r="584" spans="1:34" ht="14.25" hidden="1" customHeight="1">
      <c r="A584" s="19"/>
      <c r="B584" s="19"/>
      <c r="C584" s="19"/>
      <c r="D584" s="5"/>
      <c r="E584" s="5"/>
      <c r="F584" s="19"/>
      <c r="G584" s="5"/>
      <c r="H584" s="19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</row>
    <row r="585" spans="1:34" ht="14.25" hidden="1" customHeight="1">
      <c r="A585" s="19"/>
      <c r="B585" s="19"/>
      <c r="C585" s="19"/>
      <c r="D585" s="5"/>
      <c r="E585" s="5"/>
      <c r="F585" s="19"/>
      <c r="G585" s="5"/>
      <c r="H585" s="19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</row>
    <row r="586" spans="1:34" ht="14.25" hidden="1" customHeight="1">
      <c r="A586" s="19"/>
      <c r="B586" s="19"/>
      <c r="C586" s="19"/>
      <c r="D586" s="5"/>
      <c r="E586" s="5"/>
      <c r="F586" s="19"/>
      <c r="G586" s="5"/>
      <c r="H586" s="19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</row>
    <row r="587" spans="1:34" ht="14.25" hidden="1" customHeight="1">
      <c r="A587" s="19"/>
      <c r="B587" s="19"/>
      <c r="C587" s="19"/>
      <c r="D587" s="5"/>
      <c r="E587" s="5"/>
      <c r="F587" s="19"/>
      <c r="G587" s="5"/>
      <c r="H587" s="19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</row>
    <row r="588" spans="1:34" ht="14.25" hidden="1" customHeight="1">
      <c r="A588" s="19"/>
      <c r="B588" s="19"/>
      <c r="C588" s="19"/>
      <c r="D588" s="5"/>
      <c r="E588" s="5"/>
      <c r="F588" s="19"/>
      <c r="G588" s="5"/>
      <c r="H588" s="19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</row>
    <row r="589" spans="1:34" ht="14.25" hidden="1" customHeight="1">
      <c r="A589" s="19"/>
      <c r="B589" s="19"/>
      <c r="C589" s="19"/>
      <c r="D589" s="5"/>
      <c r="E589" s="5"/>
      <c r="F589" s="19"/>
      <c r="G589" s="5"/>
      <c r="H589" s="19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</row>
    <row r="590" spans="1:34" ht="14.25" hidden="1" customHeight="1">
      <c r="A590" s="19"/>
      <c r="B590" s="19"/>
      <c r="C590" s="19"/>
      <c r="D590" s="5"/>
      <c r="E590" s="5"/>
      <c r="F590" s="19"/>
      <c r="G590" s="5"/>
      <c r="H590" s="19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</row>
    <row r="591" spans="1:34" ht="14.25" hidden="1" customHeight="1">
      <c r="A591" s="19"/>
      <c r="B591" s="19"/>
      <c r="C591" s="19"/>
      <c r="D591" s="5"/>
      <c r="E591" s="5"/>
      <c r="F591" s="19"/>
      <c r="G591" s="5"/>
      <c r="H591" s="19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</row>
    <row r="592" spans="1:34" ht="14.25" hidden="1" customHeight="1">
      <c r="A592" s="19"/>
      <c r="B592" s="19"/>
      <c r="C592" s="19"/>
      <c r="D592" s="5"/>
      <c r="E592" s="5"/>
      <c r="F592" s="19"/>
      <c r="G592" s="5"/>
      <c r="H592" s="19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</row>
    <row r="593" spans="1:34" ht="14.25" hidden="1" customHeight="1">
      <c r="A593" s="19"/>
      <c r="B593" s="19"/>
      <c r="C593" s="19"/>
      <c r="D593" s="5"/>
      <c r="E593" s="5"/>
      <c r="F593" s="19"/>
      <c r="G593" s="5"/>
      <c r="H593" s="19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</row>
    <row r="594" spans="1:34" ht="14.25" hidden="1" customHeight="1">
      <c r="A594" s="19"/>
      <c r="B594" s="19"/>
      <c r="C594" s="19"/>
      <c r="D594" s="5"/>
      <c r="E594" s="5"/>
      <c r="F594" s="19"/>
      <c r="G594" s="5"/>
      <c r="H594" s="19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</row>
    <row r="595" spans="1:34" ht="14.25" hidden="1" customHeight="1">
      <c r="A595" s="19"/>
      <c r="B595" s="19"/>
      <c r="C595" s="19"/>
      <c r="D595" s="5"/>
      <c r="E595" s="5"/>
      <c r="F595" s="19"/>
      <c r="G595" s="5"/>
      <c r="H595" s="19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</row>
    <row r="596" spans="1:34" ht="14.25" hidden="1" customHeight="1">
      <c r="A596" s="19"/>
      <c r="B596" s="19"/>
      <c r="C596" s="19"/>
      <c r="D596" s="5"/>
      <c r="E596" s="5"/>
      <c r="F596" s="19"/>
      <c r="G596" s="5"/>
      <c r="H596" s="19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</row>
    <row r="597" spans="1:34" ht="14.25" hidden="1" customHeight="1">
      <c r="A597" s="19"/>
      <c r="B597" s="19"/>
      <c r="C597" s="19"/>
      <c r="D597" s="5"/>
      <c r="E597" s="5"/>
      <c r="F597" s="19"/>
      <c r="G597" s="5"/>
      <c r="H597" s="19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</row>
    <row r="598" spans="1:34" ht="14.25" hidden="1" customHeight="1">
      <c r="A598" s="19"/>
      <c r="B598" s="19"/>
      <c r="C598" s="19"/>
      <c r="D598" s="5"/>
      <c r="E598" s="5"/>
      <c r="F598" s="19"/>
      <c r="G598" s="5"/>
      <c r="H598" s="19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</row>
    <row r="599" spans="1:34" ht="14.25" hidden="1" customHeight="1">
      <c r="A599" s="19"/>
      <c r="B599" s="19"/>
      <c r="C599" s="19"/>
      <c r="D599" s="5"/>
      <c r="E599" s="5"/>
      <c r="F599" s="19"/>
      <c r="G599" s="5"/>
      <c r="H599" s="19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</row>
    <row r="600" spans="1:34" ht="14.25" hidden="1" customHeight="1">
      <c r="A600" s="19"/>
      <c r="B600" s="19"/>
      <c r="C600" s="19"/>
      <c r="D600" s="5"/>
      <c r="E600" s="5"/>
      <c r="F600" s="19"/>
      <c r="G600" s="5"/>
      <c r="H600" s="19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</row>
    <row r="601" spans="1:34" ht="14.25" hidden="1" customHeight="1">
      <c r="A601" s="19"/>
      <c r="B601" s="19"/>
      <c r="C601" s="19"/>
      <c r="D601" s="5"/>
      <c r="E601" s="5"/>
      <c r="F601" s="19"/>
      <c r="G601" s="5"/>
      <c r="H601" s="19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</row>
    <row r="602" spans="1:34" ht="14.25" hidden="1" customHeight="1">
      <c r="A602" s="19"/>
      <c r="B602" s="19"/>
      <c r="C602" s="19"/>
      <c r="D602" s="5"/>
      <c r="E602" s="5"/>
      <c r="F602" s="19"/>
      <c r="G602" s="5"/>
      <c r="H602" s="19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</row>
    <row r="603" spans="1:34" ht="14.25" hidden="1" customHeight="1">
      <c r="A603" s="19"/>
      <c r="B603" s="19"/>
      <c r="C603" s="19"/>
      <c r="D603" s="5"/>
      <c r="E603" s="5"/>
      <c r="F603" s="19"/>
      <c r="G603" s="5"/>
      <c r="H603" s="19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</row>
    <row r="604" spans="1:34" ht="14.25" hidden="1" customHeight="1">
      <c r="A604" s="19"/>
      <c r="B604" s="19"/>
      <c r="C604" s="19"/>
      <c r="D604" s="5"/>
      <c r="E604" s="5"/>
      <c r="F604" s="19"/>
      <c r="G604" s="5"/>
      <c r="H604" s="19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</row>
    <row r="605" spans="1:34" ht="14.25" hidden="1" customHeight="1">
      <c r="A605" s="19"/>
      <c r="B605" s="19"/>
      <c r="C605" s="19"/>
      <c r="D605" s="5"/>
      <c r="E605" s="5"/>
      <c r="F605" s="19"/>
      <c r="G605" s="5"/>
      <c r="H605" s="19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</row>
    <row r="606" spans="1:34" ht="14.25" hidden="1" customHeight="1">
      <c r="A606" s="19"/>
      <c r="B606" s="19"/>
      <c r="C606" s="19"/>
      <c r="D606" s="5"/>
      <c r="E606" s="5"/>
      <c r="F606" s="19"/>
      <c r="G606" s="5"/>
      <c r="H606" s="19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</row>
    <row r="607" spans="1:34" ht="14.25" hidden="1" customHeight="1">
      <c r="A607" s="19"/>
      <c r="B607" s="19"/>
      <c r="C607" s="19"/>
      <c r="D607" s="5"/>
      <c r="E607" s="5"/>
      <c r="F607" s="19"/>
      <c r="G607" s="5"/>
      <c r="H607" s="19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</row>
    <row r="608" spans="1:34" ht="14.25" hidden="1" customHeight="1">
      <c r="A608" s="19"/>
      <c r="B608" s="19"/>
      <c r="C608" s="19"/>
      <c r="D608" s="5"/>
      <c r="E608" s="5"/>
      <c r="F608" s="19"/>
      <c r="G608" s="5"/>
      <c r="H608" s="19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</row>
    <row r="609" spans="1:34" ht="14.25" hidden="1" customHeight="1">
      <c r="A609" s="19"/>
      <c r="B609" s="19"/>
      <c r="C609" s="19"/>
      <c r="D609" s="5"/>
      <c r="E609" s="5"/>
      <c r="F609" s="19"/>
      <c r="G609" s="5"/>
      <c r="H609" s="19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</row>
    <row r="610" spans="1:34" ht="14.25" hidden="1" customHeight="1">
      <c r="A610" s="19"/>
      <c r="B610" s="19"/>
      <c r="C610" s="19"/>
      <c r="D610" s="5"/>
      <c r="E610" s="5"/>
      <c r="F610" s="19"/>
      <c r="G610" s="5"/>
      <c r="H610" s="19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</row>
    <row r="611" spans="1:34" ht="14.25" hidden="1" customHeight="1">
      <c r="A611" s="19"/>
      <c r="B611" s="19"/>
      <c r="C611" s="19"/>
      <c r="D611" s="5"/>
      <c r="E611" s="5"/>
      <c r="F611" s="19"/>
      <c r="G611" s="5"/>
      <c r="H611" s="19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</row>
    <row r="612" spans="1:34" ht="14.25" hidden="1" customHeight="1">
      <c r="A612" s="19"/>
      <c r="B612" s="19"/>
      <c r="C612" s="19"/>
      <c r="D612" s="5"/>
      <c r="E612" s="5"/>
      <c r="F612" s="19"/>
      <c r="G612" s="5"/>
      <c r="H612" s="19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</row>
    <row r="613" spans="1:34" ht="14.25" hidden="1" customHeight="1">
      <c r="A613" s="19"/>
      <c r="B613" s="19"/>
      <c r="C613" s="19"/>
      <c r="D613" s="5"/>
      <c r="E613" s="5"/>
      <c r="F613" s="19"/>
      <c r="G613" s="5"/>
      <c r="H613" s="19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</row>
    <row r="614" spans="1:34" ht="14.25" hidden="1" customHeight="1">
      <c r="A614" s="19"/>
      <c r="B614" s="19"/>
      <c r="C614" s="19"/>
      <c r="D614" s="5"/>
      <c r="E614" s="5"/>
      <c r="F614" s="19"/>
      <c r="G614" s="5"/>
      <c r="H614" s="19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</row>
    <row r="615" spans="1:34" ht="14.25" hidden="1" customHeight="1">
      <c r="A615" s="19"/>
      <c r="B615" s="19"/>
      <c r="C615" s="19"/>
      <c r="D615" s="5"/>
      <c r="E615" s="5"/>
      <c r="F615" s="19"/>
      <c r="G615" s="5"/>
      <c r="H615" s="19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</row>
    <row r="616" spans="1:34" ht="14.25" hidden="1" customHeight="1">
      <c r="A616" s="19"/>
      <c r="B616" s="19"/>
      <c r="C616" s="19"/>
      <c r="D616" s="5"/>
      <c r="E616" s="5"/>
      <c r="F616" s="19"/>
      <c r="G616" s="5"/>
      <c r="H616" s="19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</row>
    <row r="617" spans="1:34" ht="14.25" hidden="1" customHeight="1">
      <c r="A617" s="19"/>
      <c r="B617" s="19"/>
      <c r="C617" s="19"/>
      <c r="D617" s="5"/>
      <c r="E617" s="5"/>
      <c r="F617" s="19"/>
      <c r="G617" s="5"/>
      <c r="H617" s="19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</row>
    <row r="618" spans="1:34" ht="14.25" hidden="1" customHeight="1">
      <c r="A618" s="19"/>
      <c r="B618" s="19"/>
      <c r="C618" s="19"/>
      <c r="D618" s="5"/>
      <c r="E618" s="5"/>
      <c r="F618" s="19"/>
      <c r="G618" s="5"/>
      <c r="H618" s="19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</row>
    <row r="619" spans="1:34" ht="14.25" hidden="1" customHeight="1">
      <c r="A619" s="19"/>
      <c r="B619" s="19"/>
      <c r="C619" s="19"/>
      <c r="D619" s="5"/>
      <c r="E619" s="5"/>
      <c r="F619" s="19"/>
      <c r="G619" s="5"/>
      <c r="H619" s="19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</row>
    <row r="620" spans="1:34" ht="14.25" hidden="1" customHeight="1">
      <c r="A620" s="19"/>
      <c r="B620" s="19"/>
      <c r="C620" s="19"/>
      <c r="D620" s="5"/>
      <c r="E620" s="5"/>
      <c r="F620" s="19"/>
      <c r="G620" s="5"/>
      <c r="H620" s="19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</row>
    <row r="621" spans="1:34" ht="14.25" hidden="1" customHeight="1">
      <c r="A621" s="19"/>
      <c r="B621" s="19"/>
      <c r="C621" s="19"/>
      <c r="D621" s="5"/>
      <c r="E621" s="5"/>
      <c r="F621" s="19"/>
      <c r="G621" s="5"/>
      <c r="H621" s="19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</row>
    <row r="622" spans="1:34" ht="14.25" hidden="1" customHeight="1">
      <c r="A622" s="19"/>
      <c r="B622" s="19"/>
      <c r="C622" s="19"/>
      <c r="D622" s="5"/>
      <c r="E622" s="5"/>
      <c r="F622" s="19"/>
      <c r="G622" s="5"/>
      <c r="H622" s="19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</row>
    <row r="623" spans="1:34" ht="14.25" hidden="1" customHeight="1">
      <c r="A623" s="19"/>
      <c r="B623" s="19"/>
      <c r="C623" s="19"/>
      <c r="D623" s="5"/>
      <c r="E623" s="5"/>
      <c r="F623" s="19"/>
      <c r="G623" s="5"/>
      <c r="H623" s="19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</row>
    <row r="624" spans="1:34" ht="14.25" hidden="1" customHeight="1">
      <c r="A624" s="19"/>
      <c r="B624" s="19"/>
      <c r="C624" s="19"/>
      <c r="D624" s="5"/>
      <c r="E624" s="5"/>
      <c r="F624" s="19"/>
      <c r="G624" s="5"/>
      <c r="H624" s="19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</row>
    <row r="625" spans="1:34" ht="14.25" hidden="1" customHeight="1">
      <c r="A625" s="19"/>
      <c r="B625" s="19"/>
      <c r="C625" s="19"/>
      <c r="D625" s="5"/>
      <c r="E625" s="5"/>
      <c r="F625" s="19"/>
      <c r="G625" s="5"/>
      <c r="H625" s="19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</row>
    <row r="626" spans="1:34" ht="14.25" hidden="1" customHeight="1">
      <c r="A626" s="19"/>
      <c r="B626" s="19"/>
      <c r="C626" s="19"/>
      <c r="D626" s="5"/>
      <c r="E626" s="5"/>
      <c r="F626" s="19"/>
      <c r="G626" s="5"/>
      <c r="H626" s="19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</row>
    <row r="627" spans="1:34" ht="14.25" hidden="1" customHeight="1">
      <c r="A627" s="19"/>
      <c r="B627" s="19"/>
      <c r="C627" s="19"/>
      <c r="D627" s="5"/>
      <c r="E627" s="5"/>
      <c r="F627" s="19"/>
      <c r="G627" s="5"/>
      <c r="H627" s="19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</row>
    <row r="628" spans="1:34" ht="14.25" hidden="1" customHeight="1">
      <c r="A628" s="19"/>
      <c r="B628" s="19"/>
      <c r="C628" s="19"/>
      <c r="D628" s="5"/>
      <c r="E628" s="5"/>
      <c r="F628" s="19"/>
      <c r="G628" s="5"/>
      <c r="H628" s="19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</row>
    <row r="629" spans="1:34" ht="14.25" hidden="1" customHeight="1">
      <c r="A629" s="19"/>
      <c r="B629" s="19"/>
      <c r="C629" s="19"/>
      <c r="D629" s="5"/>
      <c r="E629" s="5"/>
      <c r="F629" s="19"/>
      <c r="G629" s="5"/>
      <c r="H629" s="19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</row>
    <row r="630" spans="1:34" ht="14.25" hidden="1" customHeight="1">
      <c r="A630" s="19"/>
      <c r="B630" s="19"/>
      <c r="C630" s="19"/>
      <c r="D630" s="5"/>
      <c r="E630" s="5"/>
      <c r="F630" s="19"/>
      <c r="G630" s="5"/>
      <c r="H630" s="19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</row>
    <row r="631" spans="1:34" ht="14.25" hidden="1" customHeight="1">
      <c r="A631" s="19"/>
      <c r="B631" s="19"/>
      <c r="C631" s="19"/>
      <c r="D631" s="5"/>
      <c r="E631" s="5"/>
      <c r="F631" s="19"/>
      <c r="G631" s="5"/>
      <c r="H631" s="19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</row>
    <row r="632" spans="1:34" ht="14.25" hidden="1" customHeight="1">
      <c r="A632" s="19"/>
      <c r="B632" s="19"/>
      <c r="C632" s="19"/>
      <c r="D632" s="5"/>
      <c r="E632" s="5"/>
      <c r="F632" s="19"/>
      <c r="G632" s="5"/>
      <c r="H632" s="19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</row>
    <row r="633" spans="1:34" ht="14.25" hidden="1" customHeight="1">
      <c r="A633" s="19"/>
      <c r="B633" s="19"/>
      <c r="C633" s="19"/>
      <c r="D633" s="5"/>
      <c r="E633" s="5"/>
      <c r="F633" s="19"/>
      <c r="G633" s="5"/>
      <c r="H633" s="19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</row>
    <row r="634" spans="1:34" ht="14.25" hidden="1" customHeight="1">
      <c r="A634" s="19"/>
      <c r="B634" s="19"/>
      <c r="C634" s="19"/>
      <c r="D634" s="5"/>
      <c r="E634" s="5"/>
      <c r="F634" s="19"/>
      <c r="G634" s="5"/>
      <c r="H634" s="19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</row>
    <row r="635" spans="1:34" ht="14.25" hidden="1" customHeight="1">
      <c r="A635" s="19"/>
      <c r="B635" s="19"/>
      <c r="C635" s="19"/>
      <c r="D635" s="5"/>
      <c r="E635" s="5"/>
      <c r="F635" s="19"/>
      <c r="G635" s="5"/>
      <c r="H635" s="19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</row>
    <row r="636" spans="1:34" ht="14.25" hidden="1" customHeight="1">
      <c r="A636" s="19"/>
      <c r="B636" s="19"/>
      <c r="C636" s="19"/>
      <c r="D636" s="5"/>
      <c r="E636" s="5"/>
      <c r="F636" s="19"/>
      <c r="G636" s="5"/>
      <c r="H636" s="19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</row>
    <row r="637" spans="1:34" ht="14.25" hidden="1" customHeight="1">
      <c r="A637" s="19"/>
      <c r="B637" s="19"/>
      <c r="C637" s="19"/>
      <c r="D637" s="5"/>
      <c r="E637" s="5"/>
      <c r="F637" s="19"/>
      <c r="G637" s="5"/>
      <c r="H637" s="19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</row>
    <row r="638" spans="1:34" ht="14.25" hidden="1" customHeight="1">
      <c r="A638" s="19"/>
      <c r="B638" s="19"/>
      <c r="C638" s="19"/>
      <c r="D638" s="5"/>
      <c r="E638" s="5"/>
      <c r="F638" s="19"/>
      <c r="G638" s="5"/>
      <c r="H638" s="19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</row>
    <row r="639" spans="1:34" ht="14.25" hidden="1" customHeight="1">
      <c r="A639" s="19"/>
      <c r="B639" s="19"/>
      <c r="C639" s="19"/>
      <c r="D639" s="5"/>
      <c r="E639" s="5"/>
      <c r="F639" s="19"/>
      <c r="G639" s="5"/>
      <c r="H639" s="19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</row>
    <row r="640" spans="1:34" ht="14.25" hidden="1" customHeight="1">
      <c r="A640" s="19"/>
      <c r="B640" s="19"/>
      <c r="C640" s="19"/>
      <c r="D640" s="5"/>
      <c r="E640" s="5"/>
      <c r="F640" s="19"/>
      <c r="G640" s="5"/>
      <c r="H640" s="19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</row>
    <row r="641" spans="1:34" ht="14.25" hidden="1" customHeight="1">
      <c r="A641" s="19"/>
      <c r="B641" s="19"/>
      <c r="C641" s="19"/>
      <c r="D641" s="5"/>
      <c r="E641" s="5"/>
      <c r="F641" s="19"/>
      <c r="G641" s="5"/>
      <c r="H641" s="19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</row>
    <row r="642" spans="1:34" ht="14.25" hidden="1" customHeight="1">
      <c r="A642" s="19"/>
      <c r="B642" s="19"/>
      <c r="C642" s="19"/>
      <c r="D642" s="5"/>
      <c r="E642" s="5"/>
      <c r="F642" s="19"/>
      <c r="G642" s="5"/>
      <c r="H642" s="19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</row>
    <row r="643" spans="1:34" ht="14.25" hidden="1" customHeight="1">
      <c r="A643" s="19"/>
      <c r="B643" s="19"/>
      <c r="C643" s="19"/>
      <c r="D643" s="5"/>
      <c r="E643" s="5"/>
      <c r="F643" s="19"/>
      <c r="G643" s="5"/>
      <c r="H643" s="19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</row>
    <row r="644" spans="1:34" ht="14.25" hidden="1" customHeight="1">
      <c r="A644" s="19"/>
      <c r="B644" s="19"/>
      <c r="C644" s="19"/>
      <c r="D644" s="5"/>
      <c r="E644" s="5"/>
      <c r="F644" s="19"/>
      <c r="G644" s="5"/>
      <c r="H644" s="19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</row>
    <row r="645" spans="1:34" ht="14.25" hidden="1" customHeight="1">
      <c r="A645" s="19"/>
      <c r="B645" s="19"/>
      <c r="C645" s="19"/>
      <c r="D645" s="5"/>
      <c r="E645" s="5"/>
      <c r="F645" s="19"/>
      <c r="G645" s="5"/>
      <c r="H645" s="19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</row>
    <row r="646" spans="1:34" ht="14.25" hidden="1" customHeight="1">
      <c r="A646" s="19"/>
      <c r="B646" s="19"/>
      <c r="C646" s="19"/>
      <c r="D646" s="5"/>
      <c r="E646" s="5"/>
      <c r="F646" s="19"/>
      <c r="G646" s="5"/>
      <c r="H646" s="19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</row>
    <row r="647" spans="1:34" ht="14.25" hidden="1" customHeight="1">
      <c r="A647" s="19"/>
      <c r="B647" s="19"/>
      <c r="C647" s="19"/>
      <c r="D647" s="5"/>
      <c r="E647" s="5"/>
      <c r="F647" s="19"/>
      <c r="G647" s="5"/>
      <c r="H647" s="19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</row>
    <row r="648" spans="1:34" ht="14.25" hidden="1" customHeight="1">
      <c r="A648" s="19"/>
      <c r="B648" s="19"/>
      <c r="C648" s="19"/>
      <c r="D648" s="5"/>
      <c r="E648" s="5"/>
      <c r="F648" s="19"/>
      <c r="G648" s="5"/>
      <c r="H648" s="19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</row>
    <row r="649" spans="1:34" ht="14.25" hidden="1" customHeight="1">
      <c r="A649" s="19"/>
      <c r="B649" s="19"/>
      <c r="C649" s="19"/>
      <c r="D649" s="5"/>
      <c r="E649" s="5"/>
      <c r="F649" s="19"/>
      <c r="G649" s="5"/>
      <c r="H649" s="19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</row>
    <row r="650" spans="1:34" ht="14.25" hidden="1" customHeight="1">
      <c r="A650" s="19"/>
      <c r="B650" s="19"/>
      <c r="C650" s="19"/>
      <c r="D650" s="5"/>
      <c r="E650" s="5"/>
      <c r="F650" s="19"/>
      <c r="G650" s="5"/>
      <c r="H650" s="19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</row>
    <row r="651" spans="1:34" ht="14.25" hidden="1" customHeight="1">
      <c r="A651" s="19"/>
      <c r="B651" s="19"/>
      <c r="C651" s="19"/>
      <c r="D651" s="5"/>
      <c r="E651" s="5"/>
      <c r="F651" s="19"/>
      <c r="G651" s="5"/>
      <c r="H651" s="19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</row>
    <row r="652" spans="1:34" ht="14.25" hidden="1" customHeight="1">
      <c r="A652" s="19"/>
      <c r="B652" s="19"/>
      <c r="C652" s="19"/>
      <c r="D652" s="5"/>
      <c r="E652" s="5"/>
      <c r="F652" s="19"/>
      <c r="G652" s="5"/>
      <c r="H652" s="19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</row>
    <row r="653" spans="1:34" ht="14.25" hidden="1" customHeight="1">
      <c r="A653" s="19"/>
      <c r="B653" s="19"/>
      <c r="C653" s="19"/>
      <c r="D653" s="5"/>
      <c r="E653" s="5"/>
      <c r="F653" s="19"/>
      <c r="G653" s="5"/>
      <c r="H653" s="19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</row>
    <row r="654" spans="1:34" ht="14.25" hidden="1" customHeight="1">
      <c r="A654" s="19"/>
      <c r="B654" s="19"/>
      <c r="C654" s="19"/>
      <c r="D654" s="5"/>
      <c r="E654" s="5"/>
      <c r="F654" s="19"/>
      <c r="G654" s="5"/>
      <c r="H654" s="19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</row>
    <row r="655" spans="1:34" ht="14.25" hidden="1" customHeight="1">
      <c r="A655" s="19"/>
      <c r="B655" s="19"/>
      <c r="C655" s="19"/>
      <c r="D655" s="5"/>
      <c r="E655" s="5"/>
      <c r="F655" s="19"/>
      <c r="G655" s="5"/>
      <c r="H655" s="19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</row>
    <row r="656" spans="1:34" ht="14.25" hidden="1" customHeight="1">
      <c r="A656" s="19"/>
      <c r="B656" s="19"/>
      <c r="C656" s="19"/>
      <c r="D656" s="5"/>
      <c r="E656" s="5"/>
      <c r="F656" s="19"/>
      <c r="G656" s="5"/>
      <c r="H656" s="19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</row>
    <row r="657" spans="1:34" ht="14.25" hidden="1" customHeight="1">
      <c r="A657" s="19"/>
      <c r="B657" s="19"/>
      <c r="C657" s="19"/>
      <c r="D657" s="5"/>
      <c r="E657" s="5"/>
      <c r="F657" s="19"/>
      <c r="G657" s="5"/>
      <c r="H657" s="19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</row>
    <row r="658" spans="1:34" ht="14.25" hidden="1" customHeight="1">
      <c r="A658" s="19"/>
      <c r="B658" s="19"/>
      <c r="C658" s="19"/>
      <c r="D658" s="5"/>
      <c r="E658" s="5"/>
      <c r="F658" s="19"/>
      <c r="G658" s="5"/>
      <c r="H658" s="19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</row>
    <row r="659" spans="1:34" ht="14.25" hidden="1" customHeight="1">
      <c r="A659" s="19"/>
      <c r="B659" s="19"/>
      <c r="C659" s="19"/>
      <c r="D659" s="5"/>
      <c r="E659" s="5"/>
      <c r="F659" s="19"/>
      <c r="G659" s="5"/>
      <c r="H659" s="19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</row>
    <row r="660" spans="1:34" ht="14.25" hidden="1" customHeight="1">
      <c r="A660" s="19"/>
      <c r="B660" s="19"/>
      <c r="C660" s="19"/>
      <c r="D660" s="5"/>
      <c r="E660" s="5"/>
      <c r="F660" s="19"/>
      <c r="G660" s="5"/>
      <c r="H660" s="19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</row>
    <row r="661" spans="1:34" ht="14.25" hidden="1" customHeight="1">
      <c r="A661" s="19"/>
      <c r="B661" s="19"/>
      <c r="C661" s="19"/>
      <c r="D661" s="5"/>
      <c r="E661" s="5"/>
      <c r="F661" s="19"/>
      <c r="G661" s="5"/>
      <c r="H661" s="19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</row>
    <row r="662" spans="1:34" ht="14.25" hidden="1" customHeight="1">
      <c r="A662" s="19"/>
      <c r="B662" s="19"/>
      <c r="C662" s="19"/>
      <c r="D662" s="5"/>
      <c r="E662" s="5"/>
      <c r="F662" s="19"/>
      <c r="G662" s="5"/>
      <c r="H662" s="19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</row>
    <row r="663" spans="1:34" ht="14.25" hidden="1" customHeight="1">
      <c r="A663" s="19"/>
      <c r="B663" s="19"/>
      <c r="C663" s="19"/>
      <c r="D663" s="5"/>
      <c r="E663" s="5"/>
      <c r="F663" s="19"/>
      <c r="G663" s="5"/>
      <c r="H663" s="19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</row>
    <row r="664" spans="1:34" ht="14.25" hidden="1" customHeight="1">
      <c r="A664" s="19"/>
      <c r="B664" s="19"/>
      <c r="C664" s="19"/>
      <c r="D664" s="5"/>
      <c r="E664" s="5"/>
      <c r="F664" s="19"/>
      <c r="G664" s="5"/>
      <c r="H664" s="19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</row>
    <row r="665" spans="1:34" ht="14.25" hidden="1" customHeight="1">
      <c r="A665" s="19"/>
      <c r="B665" s="19"/>
      <c r="C665" s="19"/>
      <c r="D665" s="5"/>
      <c r="E665" s="5"/>
      <c r="F665" s="19"/>
      <c r="G665" s="5"/>
      <c r="H665" s="19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</row>
    <row r="666" spans="1:34" ht="14.25" hidden="1" customHeight="1">
      <c r="A666" s="19"/>
      <c r="B666" s="19"/>
      <c r="C666" s="19"/>
      <c r="D666" s="5"/>
      <c r="E666" s="5"/>
      <c r="F666" s="19"/>
      <c r="G666" s="5"/>
      <c r="H666" s="19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</row>
    <row r="667" spans="1:34" ht="14.25" hidden="1" customHeight="1">
      <c r="A667" s="19"/>
      <c r="B667" s="19"/>
      <c r="C667" s="19"/>
      <c r="D667" s="5"/>
      <c r="E667" s="5"/>
      <c r="F667" s="19"/>
      <c r="G667" s="5"/>
      <c r="H667" s="19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</row>
    <row r="668" spans="1:34" ht="14.25" hidden="1" customHeight="1">
      <c r="A668" s="19"/>
      <c r="B668" s="19"/>
      <c r="C668" s="19"/>
      <c r="D668" s="5"/>
      <c r="E668" s="5"/>
      <c r="F668" s="19"/>
      <c r="G668" s="5"/>
      <c r="H668" s="19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</row>
    <row r="669" spans="1:34" ht="14.25" hidden="1" customHeight="1">
      <c r="A669" s="19"/>
      <c r="B669" s="19"/>
      <c r="C669" s="19"/>
      <c r="D669" s="5"/>
      <c r="E669" s="5"/>
      <c r="F669" s="19"/>
      <c r="G669" s="5"/>
      <c r="H669" s="19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</row>
    <row r="670" spans="1:34" ht="14.25" hidden="1" customHeight="1">
      <c r="A670" s="19"/>
      <c r="B670" s="19"/>
      <c r="C670" s="19"/>
      <c r="D670" s="5"/>
      <c r="E670" s="5"/>
      <c r="F670" s="19"/>
      <c r="G670" s="5"/>
      <c r="H670" s="19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</row>
    <row r="671" spans="1:34" ht="14.25" hidden="1" customHeight="1">
      <c r="A671" s="19"/>
      <c r="B671" s="19"/>
      <c r="C671" s="19"/>
      <c r="D671" s="5"/>
      <c r="E671" s="5"/>
      <c r="F671" s="19"/>
      <c r="G671" s="5"/>
      <c r="H671" s="19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</row>
    <row r="672" spans="1:34" ht="14.25" hidden="1" customHeight="1">
      <c r="A672" s="19"/>
      <c r="B672" s="19"/>
      <c r="C672" s="19"/>
      <c r="D672" s="5"/>
      <c r="E672" s="5"/>
      <c r="F672" s="19"/>
      <c r="G672" s="5"/>
      <c r="H672" s="19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</row>
    <row r="673" spans="1:34" ht="14.25" hidden="1" customHeight="1">
      <c r="A673" s="19"/>
      <c r="B673" s="19"/>
      <c r="C673" s="19"/>
      <c r="D673" s="5"/>
      <c r="E673" s="5"/>
      <c r="F673" s="19"/>
      <c r="G673" s="5"/>
      <c r="H673" s="19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</row>
    <row r="674" spans="1:34" ht="14.25" hidden="1" customHeight="1">
      <c r="A674" s="19"/>
      <c r="B674" s="19"/>
      <c r="C674" s="19"/>
      <c r="D674" s="5"/>
      <c r="E674" s="5"/>
      <c r="F674" s="19"/>
      <c r="G674" s="5"/>
      <c r="H674" s="19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</row>
    <row r="675" spans="1:34" ht="14.25" hidden="1" customHeight="1">
      <c r="A675" s="19"/>
      <c r="B675" s="19"/>
      <c r="C675" s="19"/>
      <c r="D675" s="5"/>
      <c r="E675" s="5"/>
      <c r="F675" s="19"/>
      <c r="G675" s="5"/>
      <c r="H675" s="19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</row>
    <row r="676" spans="1:34" ht="14.25" hidden="1" customHeight="1">
      <c r="A676" s="19"/>
      <c r="B676" s="19"/>
      <c r="C676" s="19"/>
      <c r="D676" s="5"/>
      <c r="E676" s="5"/>
      <c r="F676" s="19"/>
      <c r="G676" s="5"/>
      <c r="H676" s="19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</row>
    <row r="677" spans="1:34" ht="14.25" hidden="1" customHeight="1">
      <c r="A677" s="19"/>
      <c r="B677" s="19"/>
      <c r="C677" s="19"/>
      <c r="D677" s="5"/>
      <c r="E677" s="5"/>
      <c r="F677" s="19"/>
      <c r="G677" s="5"/>
      <c r="H677" s="19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</row>
    <row r="678" spans="1:34" ht="14.25" hidden="1" customHeight="1">
      <c r="A678" s="19"/>
      <c r="B678" s="19"/>
      <c r="C678" s="19"/>
      <c r="D678" s="5"/>
      <c r="E678" s="5"/>
      <c r="F678" s="19"/>
      <c r="G678" s="5"/>
      <c r="H678" s="19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</row>
    <row r="679" spans="1:34" ht="14.25" hidden="1" customHeight="1">
      <c r="A679" s="19"/>
      <c r="B679" s="19"/>
      <c r="C679" s="19"/>
      <c r="D679" s="5"/>
      <c r="E679" s="5"/>
      <c r="F679" s="19"/>
      <c r="G679" s="5"/>
      <c r="H679" s="19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</row>
    <row r="680" spans="1:34" ht="14.25" hidden="1" customHeight="1">
      <c r="A680" s="19"/>
      <c r="B680" s="19"/>
      <c r="C680" s="19"/>
      <c r="D680" s="5"/>
      <c r="E680" s="5"/>
      <c r="F680" s="19"/>
      <c r="G680" s="5"/>
      <c r="H680" s="19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</row>
    <row r="681" spans="1:34" ht="14.25" hidden="1" customHeight="1">
      <c r="A681" s="19"/>
      <c r="B681" s="19"/>
      <c r="C681" s="19"/>
      <c r="D681" s="5"/>
      <c r="E681" s="5"/>
      <c r="F681" s="19"/>
      <c r="G681" s="5"/>
      <c r="H681" s="19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</row>
    <row r="682" spans="1:34" ht="14.25" hidden="1" customHeight="1">
      <c r="A682" s="19"/>
      <c r="B682" s="19"/>
      <c r="C682" s="19"/>
      <c r="D682" s="5"/>
      <c r="E682" s="5"/>
      <c r="F682" s="19"/>
      <c r="G682" s="5"/>
      <c r="H682" s="19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</row>
    <row r="683" spans="1:34" ht="14.25" hidden="1" customHeight="1">
      <c r="A683" s="19"/>
      <c r="B683" s="19"/>
      <c r="C683" s="19"/>
      <c r="D683" s="5"/>
      <c r="E683" s="5"/>
      <c r="F683" s="19"/>
      <c r="G683" s="5"/>
      <c r="H683" s="19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</row>
    <row r="684" spans="1:34" ht="14.25" hidden="1" customHeight="1">
      <c r="A684" s="19"/>
      <c r="B684" s="19"/>
      <c r="C684" s="19"/>
      <c r="D684" s="5"/>
      <c r="E684" s="5"/>
      <c r="F684" s="19"/>
      <c r="G684" s="5"/>
      <c r="H684" s="19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</row>
    <row r="685" spans="1:34" ht="14.25" hidden="1" customHeight="1">
      <c r="A685" s="19"/>
      <c r="B685" s="19"/>
      <c r="C685" s="19"/>
      <c r="D685" s="5"/>
      <c r="E685" s="5"/>
      <c r="F685" s="19"/>
      <c r="G685" s="5"/>
      <c r="H685" s="19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</row>
    <row r="686" spans="1:34" ht="14.25" hidden="1" customHeight="1">
      <c r="A686" s="19"/>
      <c r="B686" s="19"/>
      <c r="C686" s="19"/>
      <c r="D686" s="5"/>
      <c r="E686" s="5"/>
      <c r="F686" s="19"/>
      <c r="G686" s="5"/>
      <c r="H686" s="19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</row>
    <row r="687" spans="1:34" ht="14.25" hidden="1" customHeight="1">
      <c r="A687" s="19"/>
      <c r="B687" s="19"/>
      <c r="C687" s="19"/>
      <c r="D687" s="5"/>
      <c r="E687" s="5"/>
      <c r="F687" s="19"/>
      <c r="G687" s="5"/>
      <c r="H687" s="19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</row>
    <row r="688" spans="1:34" ht="14.25" hidden="1" customHeight="1">
      <c r="A688" s="19"/>
      <c r="B688" s="19"/>
      <c r="C688" s="19"/>
      <c r="D688" s="5"/>
      <c r="E688" s="5"/>
      <c r="F688" s="19"/>
      <c r="G688" s="5"/>
      <c r="H688" s="19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</row>
    <row r="689" spans="1:34" ht="14.25" hidden="1" customHeight="1">
      <c r="A689" s="19"/>
      <c r="B689" s="19"/>
      <c r="C689" s="19"/>
      <c r="D689" s="5"/>
      <c r="E689" s="5"/>
      <c r="F689" s="19"/>
      <c r="G689" s="5"/>
      <c r="H689" s="19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</row>
    <row r="690" spans="1:34" ht="14.25" hidden="1" customHeight="1">
      <c r="A690" s="19"/>
      <c r="B690" s="19"/>
      <c r="C690" s="19"/>
      <c r="D690" s="5"/>
      <c r="E690" s="5"/>
      <c r="F690" s="19"/>
      <c r="G690" s="5"/>
      <c r="H690" s="19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</row>
    <row r="691" spans="1:34" ht="14.25" hidden="1" customHeight="1">
      <c r="A691" s="19"/>
      <c r="B691" s="19"/>
      <c r="C691" s="19"/>
      <c r="D691" s="5"/>
      <c r="E691" s="5"/>
      <c r="F691" s="19"/>
      <c r="G691" s="5"/>
      <c r="H691" s="19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</row>
    <row r="692" spans="1:34" ht="14.25" hidden="1" customHeight="1">
      <c r="A692" s="19"/>
      <c r="B692" s="19"/>
      <c r="C692" s="19"/>
      <c r="D692" s="5"/>
      <c r="E692" s="5"/>
      <c r="F692" s="19"/>
      <c r="G692" s="5"/>
      <c r="H692" s="19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</row>
    <row r="693" spans="1:34" ht="14.25" hidden="1" customHeight="1">
      <c r="A693" s="19"/>
      <c r="B693" s="19"/>
      <c r="C693" s="19"/>
      <c r="D693" s="5"/>
      <c r="E693" s="5"/>
      <c r="F693" s="19"/>
      <c r="G693" s="5"/>
      <c r="H693" s="19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</row>
    <row r="694" spans="1:34" ht="14.25" hidden="1" customHeight="1">
      <c r="A694" s="19"/>
      <c r="B694" s="19"/>
      <c r="C694" s="19"/>
      <c r="D694" s="5"/>
      <c r="E694" s="5"/>
      <c r="F694" s="19"/>
      <c r="G694" s="5"/>
      <c r="H694" s="19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</row>
    <row r="695" spans="1:34" ht="14.25" hidden="1" customHeight="1">
      <c r="A695" s="19"/>
      <c r="B695" s="19"/>
      <c r="C695" s="19"/>
      <c r="D695" s="5"/>
      <c r="E695" s="5"/>
      <c r="F695" s="19"/>
      <c r="G695" s="5"/>
      <c r="H695" s="19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</row>
    <row r="696" spans="1:34" ht="14.25" hidden="1" customHeight="1">
      <c r="A696" s="19"/>
      <c r="B696" s="19"/>
      <c r="C696" s="19"/>
      <c r="D696" s="5"/>
      <c r="E696" s="5"/>
      <c r="F696" s="19"/>
      <c r="G696" s="5"/>
      <c r="H696" s="19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</row>
    <row r="697" spans="1:34" ht="14.25" hidden="1" customHeight="1">
      <c r="A697" s="19"/>
      <c r="B697" s="19"/>
      <c r="C697" s="19"/>
      <c r="D697" s="5"/>
      <c r="E697" s="5"/>
      <c r="F697" s="19"/>
      <c r="G697" s="5"/>
      <c r="H697" s="19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</row>
    <row r="698" spans="1:34" ht="14.25" hidden="1" customHeight="1">
      <c r="A698" s="19"/>
      <c r="B698" s="19"/>
      <c r="C698" s="19"/>
      <c r="D698" s="5"/>
      <c r="E698" s="5"/>
      <c r="F698" s="19"/>
      <c r="G698" s="5"/>
      <c r="H698" s="19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</row>
    <row r="699" spans="1:34" ht="14.25" hidden="1" customHeight="1">
      <c r="A699" s="19"/>
      <c r="B699" s="19"/>
      <c r="C699" s="19"/>
      <c r="D699" s="5"/>
      <c r="E699" s="5"/>
      <c r="F699" s="19"/>
      <c r="G699" s="5"/>
      <c r="H699" s="19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</row>
    <row r="700" spans="1:34" ht="14.25" hidden="1" customHeight="1">
      <c r="A700" s="19"/>
      <c r="B700" s="19"/>
      <c r="C700" s="19"/>
      <c r="D700" s="5"/>
      <c r="E700" s="5"/>
      <c r="F700" s="19"/>
      <c r="G700" s="5"/>
      <c r="H700" s="19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</row>
    <row r="701" spans="1:34" ht="14.25" hidden="1" customHeight="1">
      <c r="A701" s="19"/>
      <c r="B701" s="19"/>
      <c r="C701" s="19"/>
      <c r="D701" s="5"/>
      <c r="E701" s="5"/>
      <c r="F701" s="19"/>
      <c r="G701" s="5"/>
      <c r="H701" s="19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</row>
    <row r="702" spans="1:34" ht="14.25" hidden="1" customHeight="1">
      <c r="A702" s="19"/>
      <c r="B702" s="19"/>
      <c r="C702" s="19"/>
      <c r="D702" s="5"/>
      <c r="E702" s="5"/>
      <c r="F702" s="19"/>
      <c r="G702" s="5"/>
      <c r="H702" s="19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</row>
    <row r="703" spans="1:34" ht="14.25" hidden="1" customHeight="1">
      <c r="A703" s="19"/>
      <c r="B703" s="19"/>
      <c r="C703" s="19"/>
      <c r="D703" s="5"/>
      <c r="E703" s="5"/>
      <c r="F703" s="19"/>
      <c r="G703" s="5"/>
      <c r="H703" s="19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</row>
    <row r="704" spans="1:34" ht="14.25" hidden="1" customHeight="1">
      <c r="A704" s="19"/>
      <c r="B704" s="19"/>
      <c r="C704" s="19"/>
      <c r="D704" s="5"/>
      <c r="E704" s="5"/>
      <c r="F704" s="19"/>
      <c r="G704" s="5"/>
      <c r="H704" s="19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</row>
    <row r="705" spans="1:34" ht="14.25" hidden="1" customHeight="1">
      <c r="A705" s="19"/>
      <c r="B705" s="19"/>
      <c r="C705" s="19"/>
      <c r="D705" s="5"/>
      <c r="E705" s="5"/>
      <c r="F705" s="19"/>
      <c r="G705" s="5"/>
      <c r="H705" s="19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</row>
    <row r="706" spans="1:34" ht="14.25" hidden="1" customHeight="1">
      <c r="A706" s="19"/>
      <c r="B706" s="19"/>
      <c r="C706" s="19"/>
      <c r="D706" s="5"/>
      <c r="E706" s="5"/>
      <c r="F706" s="19"/>
      <c r="G706" s="5"/>
      <c r="H706" s="19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</row>
    <row r="707" spans="1:34" ht="14.25" hidden="1" customHeight="1">
      <c r="A707" s="19"/>
      <c r="B707" s="19"/>
      <c r="C707" s="19"/>
      <c r="D707" s="5"/>
      <c r="E707" s="5"/>
      <c r="F707" s="19"/>
      <c r="G707" s="5"/>
      <c r="H707" s="19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</row>
    <row r="708" spans="1:34" ht="14.25" hidden="1" customHeight="1">
      <c r="A708" s="19"/>
      <c r="B708" s="19"/>
      <c r="C708" s="19"/>
      <c r="D708" s="5"/>
      <c r="E708" s="5"/>
      <c r="F708" s="19"/>
      <c r="G708" s="5"/>
      <c r="H708" s="19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</row>
    <row r="709" spans="1:34" ht="14.25" hidden="1" customHeight="1">
      <c r="A709" s="19"/>
      <c r="B709" s="19"/>
      <c r="C709" s="19"/>
      <c r="D709" s="5"/>
      <c r="E709" s="5"/>
      <c r="F709" s="19"/>
      <c r="G709" s="5"/>
      <c r="H709" s="19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</row>
    <row r="710" spans="1:34" ht="14.25" hidden="1" customHeight="1">
      <c r="A710" s="19"/>
      <c r="B710" s="19"/>
      <c r="C710" s="19"/>
      <c r="D710" s="5"/>
      <c r="E710" s="5"/>
      <c r="F710" s="19"/>
      <c r="G710" s="5"/>
      <c r="H710" s="19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</row>
    <row r="711" spans="1:34" ht="14.25" hidden="1" customHeight="1">
      <c r="A711" s="19"/>
      <c r="B711" s="19"/>
      <c r="C711" s="19"/>
      <c r="D711" s="5"/>
      <c r="E711" s="5"/>
      <c r="F711" s="19"/>
      <c r="G711" s="5"/>
      <c r="H711" s="19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</row>
    <row r="712" spans="1:34" ht="14.25" hidden="1" customHeight="1">
      <c r="A712" s="19"/>
      <c r="B712" s="19"/>
      <c r="C712" s="19"/>
      <c r="D712" s="5"/>
      <c r="E712" s="5"/>
      <c r="F712" s="19"/>
      <c r="G712" s="5"/>
      <c r="H712" s="19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</row>
    <row r="713" spans="1:34" ht="14.25" hidden="1" customHeight="1">
      <c r="A713" s="19"/>
      <c r="B713" s="19"/>
      <c r="C713" s="19"/>
      <c r="D713" s="5"/>
      <c r="E713" s="5"/>
      <c r="F713" s="19"/>
      <c r="G713" s="5"/>
      <c r="H713" s="19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</row>
    <row r="714" spans="1:34" ht="14.25" hidden="1" customHeight="1">
      <c r="A714" s="19"/>
      <c r="B714" s="19"/>
      <c r="C714" s="19"/>
      <c r="D714" s="5"/>
      <c r="E714" s="5"/>
      <c r="F714" s="19"/>
      <c r="G714" s="5"/>
      <c r="H714" s="19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</row>
    <row r="715" spans="1:34" ht="14.25" hidden="1" customHeight="1">
      <c r="A715" s="19"/>
      <c r="B715" s="19"/>
      <c r="C715" s="19"/>
      <c r="D715" s="5"/>
      <c r="E715" s="5"/>
      <c r="F715" s="19"/>
      <c r="G715" s="5"/>
      <c r="H715" s="19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</row>
    <row r="716" spans="1:34" ht="14.25" hidden="1" customHeight="1">
      <c r="A716" s="19"/>
      <c r="B716" s="19"/>
      <c r="C716" s="19"/>
      <c r="D716" s="5"/>
      <c r="E716" s="5"/>
      <c r="F716" s="19"/>
      <c r="G716" s="5"/>
      <c r="H716" s="19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</row>
    <row r="717" spans="1:34" ht="14.25" hidden="1" customHeight="1">
      <c r="A717" s="19"/>
      <c r="B717" s="19"/>
      <c r="C717" s="19"/>
      <c r="D717" s="5"/>
      <c r="E717" s="5"/>
      <c r="F717" s="19"/>
      <c r="G717" s="5"/>
      <c r="H717" s="19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</row>
    <row r="718" spans="1:34" ht="14.25" hidden="1" customHeight="1">
      <c r="A718" s="19"/>
      <c r="B718" s="19"/>
      <c r="C718" s="19"/>
      <c r="D718" s="5"/>
      <c r="E718" s="5"/>
      <c r="F718" s="19"/>
      <c r="G718" s="5"/>
      <c r="H718" s="19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</row>
    <row r="719" spans="1:34" ht="14.25" hidden="1" customHeight="1">
      <c r="A719" s="19"/>
      <c r="B719" s="19"/>
      <c r="C719" s="19"/>
      <c r="D719" s="5"/>
      <c r="E719" s="5"/>
      <c r="F719" s="19"/>
      <c r="G719" s="5"/>
      <c r="H719" s="19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</row>
    <row r="720" spans="1:34" ht="14.25" hidden="1" customHeight="1">
      <c r="A720" s="19"/>
      <c r="B720" s="19"/>
      <c r="C720" s="19"/>
      <c r="D720" s="5"/>
      <c r="E720" s="5"/>
      <c r="F720" s="19"/>
      <c r="G720" s="5"/>
      <c r="H720" s="19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</row>
    <row r="721" spans="1:34" ht="14.25" hidden="1" customHeight="1">
      <c r="A721" s="19"/>
      <c r="B721" s="19"/>
      <c r="C721" s="19"/>
      <c r="D721" s="5"/>
      <c r="E721" s="5"/>
      <c r="F721" s="19"/>
      <c r="G721" s="5"/>
      <c r="H721" s="19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</row>
    <row r="722" spans="1:34" ht="14.25" hidden="1" customHeight="1">
      <c r="A722" s="19"/>
      <c r="B722" s="19"/>
      <c r="C722" s="19"/>
      <c r="D722" s="5"/>
      <c r="E722" s="5"/>
      <c r="F722" s="19"/>
      <c r="G722" s="5"/>
      <c r="H722" s="19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</row>
    <row r="723" spans="1:34" ht="14.25" hidden="1" customHeight="1">
      <c r="A723" s="19"/>
      <c r="B723" s="19"/>
      <c r="C723" s="19"/>
      <c r="D723" s="5"/>
      <c r="E723" s="5"/>
      <c r="F723" s="19"/>
      <c r="G723" s="5"/>
      <c r="H723" s="19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</row>
    <row r="724" spans="1:34" ht="14.25" hidden="1" customHeight="1">
      <c r="A724" s="19"/>
      <c r="B724" s="19"/>
      <c r="C724" s="19"/>
      <c r="D724" s="5"/>
      <c r="E724" s="5"/>
      <c r="F724" s="19"/>
      <c r="G724" s="5"/>
      <c r="H724" s="19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</row>
    <row r="725" spans="1:34" ht="14.25" hidden="1" customHeight="1">
      <c r="A725" s="19"/>
      <c r="B725" s="19"/>
      <c r="C725" s="19"/>
      <c r="D725" s="5"/>
      <c r="E725" s="5"/>
      <c r="F725" s="19"/>
      <c r="G725" s="5"/>
      <c r="H725" s="19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</row>
    <row r="726" spans="1:34" ht="14.25" hidden="1" customHeight="1">
      <c r="A726" s="19"/>
      <c r="B726" s="19"/>
      <c r="C726" s="19"/>
      <c r="D726" s="5"/>
      <c r="E726" s="5"/>
      <c r="F726" s="19"/>
      <c r="G726" s="5"/>
      <c r="H726" s="19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</row>
    <row r="727" spans="1:34" ht="14.25" hidden="1" customHeight="1">
      <c r="A727" s="19"/>
      <c r="B727" s="19"/>
      <c r="C727" s="19"/>
      <c r="D727" s="5"/>
      <c r="E727" s="5"/>
      <c r="F727" s="19"/>
      <c r="G727" s="5"/>
      <c r="H727" s="19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</row>
    <row r="728" spans="1:34" ht="14.25" hidden="1" customHeight="1">
      <c r="A728" s="19"/>
      <c r="B728" s="19"/>
      <c r="C728" s="19"/>
      <c r="D728" s="5"/>
      <c r="E728" s="5"/>
      <c r="F728" s="19"/>
      <c r="G728" s="5"/>
      <c r="H728" s="19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</row>
    <row r="729" spans="1:34" ht="14.25" hidden="1" customHeight="1">
      <c r="A729" s="19"/>
      <c r="B729" s="19"/>
      <c r="C729" s="19"/>
      <c r="D729" s="5"/>
      <c r="E729" s="5"/>
      <c r="F729" s="19"/>
      <c r="G729" s="5"/>
      <c r="H729" s="19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</row>
    <row r="730" spans="1:34" ht="14.25" hidden="1" customHeight="1">
      <c r="A730" s="19"/>
      <c r="B730" s="19"/>
      <c r="C730" s="19"/>
      <c r="D730" s="5"/>
      <c r="E730" s="5"/>
      <c r="F730" s="19"/>
      <c r="G730" s="5"/>
      <c r="H730" s="19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</row>
    <row r="731" spans="1:34" ht="14.25" hidden="1" customHeight="1">
      <c r="A731" s="19"/>
      <c r="B731" s="19"/>
      <c r="C731" s="19"/>
      <c r="D731" s="5"/>
      <c r="E731" s="5"/>
      <c r="F731" s="19"/>
      <c r="G731" s="5"/>
      <c r="H731" s="19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</row>
    <row r="732" spans="1:34" ht="14.25" hidden="1" customHeight="1">
      <c r="A732" s="19"/>
      <c r="B732" s="19"/>
      <c r="C732" s="19"/>
      <c r="D732" s="5"/>
      <c r="E732" s="5"/>
      <c r="F732" s="19"/>
      <c r="G732" s="5"/>
      <c r="H732" s="19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</row>
    <row r="733" spans="1:34" ht="14.25" hidden="1" customHeight="1">
      <c r="A733" s="19"/>
      <c r="B733" s="19"/>
      <c r="C733" s="19"/>
      <c r="D733" s="5"/>
      <c r="E733" s="5"/>
      <c r="F733" s="19"/>
      <c r="G733" s="5"/>
      <c r="H733" s="19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</row>
    <row r="734" spans="1:34" ht="14.25" hidden="1" customHeight="1">
      <c r="A734" s="19"/>
      <c r="B734" s="19"/>
      <c r="C734" s="19"/>
      <c r="D734" s="5"/>
      <c r="E734" s="5"/>
      <c r="F734" s="19"/>
      <c r="G734" s="5"/>
      <c r="H734" s="19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</row>
    <row r="735" spans="1:34" ht="14.25" hidden="1" customHeight="1">
      <c r="A735" s="19"/>
      <c r="B735" s="19"/>
      <c r="C735" s="19"/>
      <c r="D735" s="5"/>
      <c r="E735" s="5"/>
      <c r="F735" s="19"/>
      <c r="G735" s="5"/>
      <c r="H735" s="19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</row>
    <row r="736" spans="1:34" ht="14.25" hidden="1" customHeight="1">
      <c r="A736" s="19"/>
      <c r="B736" s="19"/>
      <c r="C736" s="19"/>
      <c r="D736" s="5"/>
      <c r="E736" s="5"/>
      <c r="F736" s="19"/>
      <c r="G736" s="5"/>
      <c r="H736" s="19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</row>
    <row r="737" spans="1:34" ht="14.25" hidden="1" customHeight="1">
      <c r="A737" s="19"/>
      <c r="B737" s="19"/>
      <c r="C737" s="19"/>
      <c r="D737" s="5"/>
      <c r="E737" s="5"/>
      <c r="F737" s="19"/>
      <c r="G737" s="5"/>
      <c r="H737" s="19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</row>
    <row r="738" spans="1:34" ht="14.25" hidden="1" customHeight="1">
      <c r="A738" s="19"/>
      <c r="B738" s="19"/>
      <c r="C738" s="19"/>
      <c r="D738" s="5"/>
      <c r="E738" s="5"/>
      <c r="F738" s="19"/>
      <c r="G738" s="5"/>
      <c r="H738" s="19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</row>
    <row r="739" spans="1:34" ht="14.25" hidden="1" customHeight="1">
      <c r="A739" s="19"/>
      <c r="B739" s="19"/>
      <c r="C739" s="19"/>
      <c r="D739" s="5"/>
      <c r="E739" s="5"/>
      <c r="F739" s="19"/>
      <c r="G739" s="5"/>
      <c r="H739" s="19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</row>
    <row r="740" spans="1:34" ht="14.25" hidden="1" customHeight="1">
      <c r="A740" s="19"/>
      <c r="B740" s="19"/>
      <c r="C740" s="19"/>
      <c r="D740" s="5"/>
      <c r="E740" s="5"/>
      <c r="F740" s="19"/>
      <c r="G740" s="5"/>
      <c r="H740" s="19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</row>
    <row r="741" spans="1:34" ht="14.25" hidden="1" customHeight="1">
      <c r="A741" s="19"/>
      <c r="B741" s="19"/>
      <c r="C741" s="19"/>
      <c r="D741" s="5"/>
      <c r="E741" s="5"/>
      <c r="F741" s="19"/>
      <c r="G741" s="5"/>
      <c r="H741" s="19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</row>
    <row r="742" spans="1:34" ht="14.25" hidden="1" customHeight="1">
      <c r="A742" s="19"/>
      <c r="B742" s="19"/>
      <c r="C742" s="19"/>
      <c r="D742" s="5"/>
      <c r="E742" s="5"/>
      <c r="F742" s="19"/>
      <c r="G742" s="5"/>
      <c r="H742" s="19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</row>
    <row r="743" spans="1:34" ht="14.25" hidden="1" customHeight="1">
      <c r="A743" s="19"/>
      <c r="B743" s="19"/>
      <c r="C743" s="19"/>
      <c r="D743" s="5"/>
      <c r="E743" s="5"/>
      <c r="F743" s="19"/>
      <c r="G743" s="5"/>
      <c r="H743" s="19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</row>
    <row r="744" spans="1:34" ht="14.25" hidden="1" customHeight="1">
      <c r="A744" s="19"/>
      <c r="B744" s="19"/>
      <c r="C744" s="19"/>
      <c r="D744" s="5"/>
      <c r="E744" s="5"/>
      <c r="F744" s="19"/>
      <c r="G744" s="5"/>
      <c r="H744" s="19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</row>
    <row r="745" spans="1:34" ht="14.25" hidden="1" customHeight="1">
      <c r="A745" s="19"/>
      <c r="B745" s="19"/>
      <c r="C745" s="19"/>
      <c r="D745" s="5"/>
      <c r="E745" s="5"/>
      <c r="F745" s="19"/>
      <c r="G745" s="5"/>
      <c r="H745" s="19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</row>
    <row r="746" spans="1:34" ht="14.25" hidden="1" customHeight="1">
      <c r="A746" s="19"/>
      <c r="B746" s="19"/>
      <c r="C746" s="19"/>
      <c r="D746" s="5"/>
      <c r="E746" s="5"/>
      <c r="F746" s="19"/>
      <c r="G746" s="5"/>
      <c r="H746" s="19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</row>
    <row r="747" spans="1:34" ht="14.25" hidden="1" customHeight="1">
      <c r="A747" s="19"/>
      <c r="B747" s="19"/>
      <c r="C747" s="19"/>
      <c r="D747" s="5"/>
      <c r="E747" s="5"/>
      <c r="F747" s="19"/>
      <c r="G747" s="5"/>
      <c r="H747" s="19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</row>
    <row r="748" spans="1:34" ht="14.25" hidden="1" customHeight="1">
      <c r="A748" s="19"/>
      <c r="B748" s="19"/>
      <c r="C748" s="19"/>
      <c r="D748" s="5"/>
      <c r="E748" s="5"/>
      <c r="F748" s="19"/>
      <c r="G748" s="5"/>
      <c r="H748" s="19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</row>
    <row r="749" spans="1:34" ht="14.25" hidden="1" customHeight="1">
      <c r="A749" s="19"/>
      <c r="B749" s="19"/>
      <c r="C749" s="19"/>
      <c r="D749" s="5"/>
      <c r="E749" s="5"/>
      <c r="F749" s="19"/>
      <c r="G749" s="5"/>
      <c r="H749" s="19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</row>
    <row r="750" spans="1:34" ht="14.25" hidden="1" customHeight="1">
      <c r="A750" s="19"/>
      <c r="B750" s="19"/>
      <c r="C750" s="19"/>
      <c r="D750" s="5"/>
      <c r="E750" s="5"/>
      <c r="F750" s="19"/>
      <c r="G750" s="5"/>
      <c r="H750" s="19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</row>
    <row r="751" spans="1:34" ht="14.25" hidden="1" customHeight="1">
      <c r="A751" s="19"/>
      <c r="B751" s="19"/>
      <c r="C751" s="19"/>
      <c r="D751" s="5"/>
      <c r="E751" s="5"/>
      <c r="F751" s="19"/>
      <c r="G751" s="5"/>
      <c r="H751" s="19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</row>
    <row r="752" spans="1:34" ht="14.25" hidden="1" customHeight="1">
      <c r="A752" s="19"/>
      <c r="B752" s="19"/>
      <c r="C752" s="19"/>
      <c r="D752" s="5"/>
      <c r="E752" s="5"/>
      <c r="F752" s="19"/>
      <c r="G752" s="5"/>
      <c r="H752" s="19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</row>
    <row r="753" spans="1:34" ht="14.25" hidden="1" customHeight="1">
      <c r="A753" s="19"/>
      <c r="B753" s="19"/>
      <c r="C753" s="19"/>
      <c r="D753" s="5"/>
      <c r="E753" s="5"/>
      <c r="F753" s="19"/>
      <c r="G753" s="5"/>
      <c r="H753" s="19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</row>
    <row r="754" spans="1:34" ht="14.25" hidden="1" customHeight="1">
      <c r="A754" s="19"/>
      <c r="B754" s="19"/>
      <c r="C754" s="19"/>
      <c r="D754" s="5"/>
      <c r="E754" s="5"/>
      <c r="F754" s="19"/>
      <c r="G754" s="5"/>
      <c r="H754" s="19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</row>
    <row r="755" spans="1:34" ht="14.25" hidden="1" customHeight="1">
      <c r="A755" s="19"/>
      <c r="B755" s="19"/>
      <c r="C755" s="19"/>
      <c r="D755" s="5"/>
      <c r="E755" s="5"/>
      <c r="F755" s="19"/>
      <c r="G755" s="5"/>
      <c r="H755" s="19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</row>
    <row r="756" spans="1:34" ht="14.25" hidden="1" customHeight="1">
      <c r="A756" s="19"/>
      <c r="B756" s="19"/>
      <c r="C756" s="19"/>
      <c r="D756" s="5"/>
      <c r="E756" s="5"/>
      <c r="F756" s="19"/>
      <c r="G756" s="5"/>
      <c r="H756" s="19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</row>
    <row r="757" spans="1:34" ht="14.25" hidden="1" customHeight="1">
      <c r="A757" s="19"/>
      <c r="B757" s="19"/>
      <c r="C757" s="19"/>
      <c r="D757" s="5"/>
      <c r="E757" s="5"/>
      <c r="F757" s="19"/>
      <c r="G757" s="5"/>
      <c r="H757" s="19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</row>
    <row r="758" spans="1:34" ht="14.25" hidden="1" customHeight="1">
      <c r="A758" s="19"/>
      <c r="B758" s="19"/>
      <c r="C758" s="19"/>
      <c r="D758" s="5"/>
      <c r="E758" s="5"/>
      <c r="F758" s="19"/>
      <c r="G758" s="5"/>
      <c r="H758" s="19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</row>
    <row r="759" spans="1:34" ht="14.25" hidden="1" customHeight="1">
      <c r="A759" s="19"/>
      <c r="B759" s="19"/>
      <c r="C759" s="19"/>
      <c r="D759" s="5"/>
      <c r="E759" s="5"/>
      <c r="F759" s="19"/>
      <c r="G759" s="5"/>
      <c r="H759" s="19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</row>
    <row r="760" spans="1:34" ht="14.25" hidden="1" customHeight="1">
      <c r="A760" s="19"/>
      <c r="B760" s="19"/>
      <c r="C760" s="19"/>
      <c r="D760" s="5"/>
      <c r="E760" s="5"/>
      <c r="F760" s="19"/>
      <c r="G760" s="5"/>
      <c r="H760" s="19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</row>
    <row r="761" spans="1:34" ht="14.25" hidden="1" customHeight="1">
      <c r="A761" s="19"/>
      <c r="B761" s="19"/>
      <c r="C761" s="19"/>
      <c r="D761" s="5"/>
      <c r="E761" s="5"/>
      <c r="F761" s="19"/>
      <c r="G761" s="5"/>
      <c r="H761" s="19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</row>
    <row r="762" spans="1:34" ht="14.25" hidden="1" customHeight="1">
      <c r="A762" s="19"/>
      <c r="B762" s="19"/>
      <c r="C762" s="19"/>
      <c r="D762" s="5"/>
      <c r="E762" s="5"/>
      <c r="F762" s="19"/>
      <c r="G762" s="5"/>
      <c r="H762" s="19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</row>
    <row r="763" spans="1:34" ht="14.25" hidden="1" customHeight="1">
      <c r="A763" s="19"/>
      <c r="B763" s="19"/>
      <c r="C763" s="19"/>
      <c r="D763" s="5"/>
      <c r="E763" s="5"/>
      <c r="F763" s="19"/>
      <c r="G763" s="5"/>
      <c r="H763" s="19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</row>
    <row r="764" spans="1:34" ht="14.25" hidden="1" customHeight="1">
      <c r="A764" s="19"/>
      <c r="B764" s="19"/>
      <c r="C764" s="19"/>
      <c r="D764" s="5"/>
      <c r="E764" s="5"/>
      <c r="F764" s="19"/>
      <c r="G764" s="5"/>
      <c r="H764" s="19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</row>
    <row r="765" spans="1:34" ht="14.25" hidden="1" customHeight="1">
      <c r="A765" s="19"/>
      <c r="B765" s="19"/>
      <c r="C765" s="19"/>
      <c r="D765" s="5"/>
      <c r="E765" s="5"/>
      <c r="F765" s="19"/>
      <c r="G765" s="5"/>
      <c r="H765" s="19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</row>
    <row r="766" spans="1:34" ht="14.25" hidden="1" customHeight="1">
      <c r="A766" s="19"/>
      <c r="B766" s="19"/>
      <c r="C766" s="19"/>
      <c r="D766" s="5"/>
      <c r="E766" s="5"/>
      <c r="F766" s="19"/>
      <c r="G766" s="5"/>
      <c r="H766" s="19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</row>
    <row r="767" spans="1:34" ht="14.25" hidden="1" customHeight="1">
      <c r="A767" s="19"/>
      <c r="B767" s="19"/>
      <c r="C767" s="19"/>
      <c r="D767" s="5"/>
      <c r="E767" s="5"/>
      <c r="F767" s="19"/>
      <c r="G767" s="5"/>
      <c r="H767" s="19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</row>
    <row r="768" spans="1:34" ht="14.25" hidden="1" customHeight="1">
      <c r="A768" s="19"/>
      <c r="B768" s="19"/>
      <c r="C768" s="19"/>
      <c r="D768" s="5"/>
      <c r="E768" s="5"/>
      <c r="F768" s="19"/>
      <c r="G768" s="5"/>
      <c r="H768" s="19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</row>
    <row r="769" spans="1:34" ht="14.25" hidden="1" customHeight="1">
      <c r="A769" s="19"/>
      <c r="B769" s="19"/>
      <c r="C769" s="19"/>
      <c r="D769" s="5"/>
      <c r="E769" s="5"/>
      <c r="F769" s="19"/>
      <c r="G769" s="5"/>
      <c r="H769" s="19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</row>
    <row r="770" spans="1:34" ht="14.25" hidden="1" customHeight="1">
      <c r="A770" s="19"/>
      <c r="B770" s="19"/>
      <c r="C770" s="19"/>
      <c r="D770" s="5"/>
      <c r="E770" s="5"/>
      <c r="F770" s="19"/>
      <c r="G770" s="5"/>
      <c r="H770" s="19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</row>
    <row r="771" spans="1:34" ht="14.25" hidden="1" customHeight="1">
      <c r="A771" s="19"/>
      <c r="B771" s="19"/>
      <c r="C771" s="19"/>
      <c r="D771" s="5"/>
      <c r="E771" s="5"/>
      <c r="F771" s="19"/>
      <c r="G771" s="5"/>
      <c r="H771" s="19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</row>
    <row r="772" spans="1:34" ht="14.25" hidden="1" customHeight="1">
      <c r="A772" s="19"/>
      <c r="B772" s="19"/>
      <c r="C772" s="19"/>
      <c r="D772" s="5"/>
      <c r="E772" s="5"/>
      <c r="F772" s="19"/>
      <c r="G772" s="5"/>
      <c r="H772" s="19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</row>
    <row r="773" spans="1:34" ht="14.25" hidden="1" customHeight="1">
      <c r="A773" s="19"/>
      <c r="B773" s="19"/>
      <c r="C773" s="19"/>
      <c r="D773" s="5"/>
      <c r="E773" s="5"/>
      <c r="F773" s="19"/>
      <c r="G773" s="5"/>
      <c r="H773" s="19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</row>
    <row r="774" spans="1:34" ht="14.25" hidden="1" customHeight="1">
      <c r="A774" s="19"/>
      <c r="B774" s="19"/>
      <c r="C774" s="19"/>
      <c r="D774" s="5"/>
      <c r="E774" s="5"/>
      <c r="F774" s="19"/>
      <c r="G774" s="5"/>
      <c r="H774" s="19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</row>
    <row r="775" spans="1:34" ht="14.25" hidden="1" customHeight="1">
      <c r="A775" s="19"/>
      <c r="B775" s="19"/>
      <c r="C775" s="19"/>
      <c r="D775" s="5"/>
      <c r="E775" s="5"/>
      <c r="F775" s="19"/>
      <c r="G775" s="5"/>
      <c r="H775" s="19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</row>
    <row r="776" spans="1:34" ht="14.25" hidden="1" customHeight="1">
      <c r="A776" s="19"/>
      <c r="B776" s="19"/>
      <c r="C776" s="19"/>
      <c r="D776" s="5"/>
      <c r="E776" s="5"/>
      <c r="F776" s="19"/>
      <c r="G776" s="5"/>
      <c r="H776" s="19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</row>
    <row r="777" spans="1:34" ht="14.25" hidden="1" customHeight="1">
      <c r="A777" s="19"/>
      <c r="B777" s="19"/>
      <c r="C777" s="19"/>
      <c r="D777" s="5"/>
      <c r="E777" s="5"/>
      <c r="F777" s="19"/>
      <c r="G777" s="5"/>
      <c r="H777" s="19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</row>
    <row r="778" spans="1:34" ht="14.25" hidden="1" customHeight="1">
      <c r="A778" s="19"/>
      <c r="B778" s="19"/>
      <c r="C778" s="19"/>
      <c r="D778" s="5"/>
      <c r="E778" s="5"/>
      <c r="F778" s="19"/>
      <c r="G778" s="5"/>
      <c r="H778" s="19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</row>
    <row r="779" spans="1:34" ht="14.25" hidden="1" customHeight="1">
      <c r="A779" s="19"/>
      <c r="B779" s="19"/>
      <c r="C779" s="19"/>
      <c r="D779" s="5"/>
      <c r="E779" s="5"/>
      <c r="F779" s="19"/>
      <c r="G779" s="5"/>
      <c r="H779" s="19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</row>
    <row r="780" spans="1:34" ht="14.25" hidden="1" customHeight="1">
      <c r="A780" s="19"/>
      <c r="B780" s="19"/>
      <c r="C780" s="19"/>
      <c r="D780" s="5"/>
      <c r="E780" s="5"/>
      <c r="F780" s="19"/>
      <c r="G780" s="5"/>
      <c r="H780" s="19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</row>
    <row r="781" spans="1:34" ht="14.25" hidden="1" customHeight="1">
      <c r="A781" s="19"/>
      <c r="B781" s="19"/>
      <c r="C781" s="19"/>
      <c r="D781" s="5"/>
      <c r="E781" s="5"/>
      <c r="F781" s="19"/>
      <c r="G781" s="5"/>
      <c r="H781" s="19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</row>
    <row r="782" spans="1:34" ht="14.25" hidden="1" customHeight="1">
      <c r="A782" s="19"/>
      <c r="B782" s="19"/>
      <c r="C782" s="19"/>
      <c r="D782" s="5"/>
      <c r="E782" s="5"/>
      <c r="F782" s="19"/>
      <c r="G782" s="5"/>
      <c r="H782" s="19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</row>
    <row r="783" spans="1:34" ht="14.25" hidden="1" customHeight="1">
      <c r="A783" s="19"/>
      <c r="B783" s="19"/>
      <c r="C783" s="19"/>
      <c r="D783" s="5"/>
      <c r="E783" s="5"/>
      <c r="F783" s="19"/>
      <c r="G783" s="5"/>
      <c r="H783" s="19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</row>
    <row r="784" spans="1:34" ht="14.25" hidden="1" customHeight="1">
      <c r="A784" s="19"/>
      <c r="B784" s="19"/>
      <c r="C784" s="19"/>
      <c r="D784" s="5"/>
      <c r="E784" s="5"/>
      <c r="F784" s="19"/>
      <c r="G784" s="5"/>
      <c r="H784" s="19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</row>
    <row r="785" spans="1:34" ht="14.25" hidden="1" customHeight="1">
      <c r="A785" s="19"/>
      <c r="B785" s="19"/>
      <c r="C785" s="19"/>
      <c r="D785" s="5"/>
      <c r="E785" s="5"/>
      <c r="F785" s="19"/>
      <c r="G785" s="5"/>
      <c r="H785" s="19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</row>
    <row r="786" spans="1:34" ht="14.25" hidden="1" customHeight="1">
      <c r="A786" s="19"/>
      <c r="B786" s="19"/>
      <c r="C786" s="19"/>
      <c r="D786" s="5"/>
      <c r="E786" s="5"/>
      <c r="F786" s="19"/>
      <c r="G786" s="5"/>
      <c r="H786" s="19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</row>
    <row r="787" spans="1:34" ht="14.25" hidden="1" customHeight="1">
      <c r="A787" s="19"/>
      <c r="B787" s="19"/>
      <c r="C787" s="19"/>
      <c r="D787" s="5"/>
      <c r="E787" s="5"/>
      <c r="F787" s="19"/>
      <c r="G787" s="5"/>
      <c r="H787" s="19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</row>
    <row r="788" spans="1:34" ht="14.25" hidden="1" customHeight="1">
      <c r="A788" s="19"/>
      <c r="B788" s="19"/>
      <c r="C788" s="19"/>
      <c r="D788" s="5"/>
      <c r="E788" s="5"/>
      <c r="F788" s="19"/>
      <c r="G788" s="5"/>
      <c r="H788" s="19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</row>
    <row r="789" spans="1:34" ht="14.25" hidden="1" customHeight="1">
      <c r="A789" s="19"/>
      <c r="B789" s="19"/>
      <c r="C789" s="19"/>
      <c r="D789" s="5"/>
      <c r="E789" s="5"/>
      <c r="F789" s="19"/>
      <c r="G789" s="5"/>
      <c r="H789" s="19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</row>
    <row r="790" spans="1:34" ht="14.25" hidden="1" customHeight="1">
      <c r="A790" s="19"/>
      <c r="B790" s="19"/>
      <c r="C790" s="19"/>
      <c r="D790" s="5"/>
      <c r="E790" s="5"/>
      <c r="F790" s="19"/>
      <c r="G790" s="5"/>
      <c r="H790" s="19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</row>
    <row r="791" spans="1:34" ht="14.25" hidden="1" customHeight="1">
      <c r="A791" s="19"/>
      <c r="B791" s="19"/>
      <c r="C791" s="19"/>
      <c r="D791" s="5"/>
      <c r="E791" s="5"/>
      <c r="F791" s="19"/>
      <c r="G791" s="5"/>
      <c r="H791" s="19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</row>
    <row r="792" spans="1:34" ht="14.25" hidden="1" customHeight="1">
      <c r="A792" s="19"/>
      <c r="B792" s="19"/>
      <c r="C792" s="19"/>
      <c r="D792" s="5"/>
      <c r="E792" s="5"/>
      <c r="F792" s="19"/>
      <c r="G792" s="5"/>
      <c r="H792" s="19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</row>
    <row r="793" spans="1:34" ht="14.25" hidden="1" customHeight="1">
      <c r="A793" s="19"/>
      <c r="B793" s="19"/>
      <c r="C793" s="19"/>
      <c r="D793" s="5"/>
      <c r="E793" s="5"/>
      <c r="F793" s="19"/>
      <c r="G793" s="5"/>
      <c r="H793" s="19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</row>
    <row r="794" spans="1:34" ht="14.25" hidden="1" customHeight="1">
      <c r="A794" s="19"/>
      <c r="B794" s="19"/>
      <c r="C794" s="19"/>
      <c r="D794" s="5"/>
      <c r="E794" s="5"/>
      <c r="F794" s="19"/>
      <c r="G794" s="5"/>
      <c r="H794" s="19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</row>
    <row r="795" spans="1:34" ht="14.25" hidden="1" customHeight="1">
      <c r="A795" s="19"/>
      <c r="B795" s="19"/>
      <c r="C795" s="19"/>
      <c r="D795" s="5"/>
      <c r="E795" s="5"/>
      <c r="F795" s="19"/>
      <c r="G795" s="5"/>
      <c r="H795" s="19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</row>
    <row r="796" spans="1:34" ht="14.25" hidden="1" customHeight="1">
      <c r="A796" s="19"/>
      <c r="B796" s="19"/>
      <c r="C796" s="19"/>
      <c r="D796" s="5"/>
      <c r="E796" s="5"/>
      <c r="F796" s="19"/>
      <c r="G796" s="5"/>
      <c r="H796" s="19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</row>
    <row r="797" spans="1:34" ht="14.25" hidden="1" customHeight="1">
      <c r="A797" s="19"/>
      <c r="B797" s="19"/>
      <c r="C797" s="19"/>
      <c r="D797" s="5"/>
      <c r="E797" s="5"/>
      <c r="F797" s="19"/>
      <c r="G797" s="5"/>
      <c r="H797" s="19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</row>
    <row r="798" spans="1:34" ht="14.25" hidden="1" customHeight="1">
      <c r="A798" s="19"/>
      <c r="B798" s="19"/>
      <c r="C798" s="19"/>
      <c r="D798" s="5"/>
      <c r="E798" s="5"/>
      <c r="F798" s="19"/>
      <c r="G798" s="5"/>
      <c r="H798" s="19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</row>
    <row r="799" spans="1:34" ht="14.25" hidden="1" customHeight="1">
      <c r="A799" s="19"/>
      <c r="B799" s="19"/>
      <c r="C799" s="19"/>
      <c r="D799" s="5"/>
      <c r="E799" s="5"/>
      <c r="F799" s="19"/>
      <c r="G799" s="5"/>
      <c r="H799" s="19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</row>
    <row r="800" spans="1:34" ht="14.25" hidden="1" customHeight="1">
      <c r="A800" s="19"/>
      <c r="B800" s="19"/>
      <c r="C800" s="19"/>
      <c r="D800" s="5"/>
      <c r="E800" s="5"/>
      <c r="F800" s="19"/>
      <c r="G800" s="5"/>
      <c r="H800" s="19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</row>
    <row r="801" spans="1:34" ht="14.25" hidden="1" customHeight="1">
      <c r="A801" s="19"/>
      <c r="B801" s="19"/>
      <c r="C801" s="19"/>
      <c r="D801" s="5"/>
      <c r="E801" s="5"/>
      <c r="F801" s="19"/>
      <c r="G801" s="5"/>
      <c r="H801" s="19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</row>
    <row r="802" spans="1:34" ht="14.25" hidden="1" customHeight="1">
      <c r="A802" s="19"/>
      <c r="B802" s="19"/>
      <c r="C802" s="19"/>
      <c r="D802" s="5"/>
      <c r="E802" s="5"/>
      <c r="F802" s="19"/>
      <c r="G802" s="5"/>
      <c r="H802" s="19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</row>
    <row r="803" spans="1:34" ht="14.25" hidden="1" customHeight="1">
      <c r="A803" s="19"/>
      <c r="B803" s="19"/>
      <c r="C803" s="19"/>
      <c r="D803" s="5"/>
      <c r="E803" s="5"/>
      <c r="F803" s="19"/>
      <c r="G803" s="5"/>
      <c r="H803" s="19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</row>
    <row r="804" spans="1:34" ht="14.25" hidden="1" customHeight="1">
      <c r="A804" s="19"/>
      <c r="B804" s="19"/>
      <c r="C804" s="19"/>
      <c r="D804" s="5"/>
      <c r="E804" s="5"/>
      <c r="F804" s="19"/>
      <c r="G804" s="5"/>
      <c r="H804" s="19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</row>
    <row r="805" spans="1:34" ht="14.25" hidden="1" customHeight="1">
      <c r="A805" s="19"/>
      <c r="B805" s="19"/>
      <c r="C805" s="19"/>
      <c r="D805" s="5"/>
      <c r="E805" s="5"/>
      <c r="F805" s="19"/>
      <c r="G805" s="5"/>
      <c r="H805" s="19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</row>
    <row r="806" spans="1:34" ht="14.25" hidden="1" customHeight="1">
      <c r="A806" s="19"/>
      <c r="B806" s="19"/>
      <c r="C806" s="19"/>
      <c r="D806" s="5"/>
      <c r="E806" s="5"/>
      <c r="F806" s="19"/>
      <c r="G806" s="5"/>
      <c r="H806" s="19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</row>
    <row r="807" spans="1:34" ht="14.25" hidden="1" customHeight="1">
      <c r="A807" s="19"/>
      <c r="B807" s="19"/>
      <c r="C807" s="19"/>
      <c r="D807" s="5"/>
      <c r="E807" s="5"/>
      <c r="F807" s="19"/>
      <c r="G807" s="5"/>
      <c r="H807" s="19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</row>
    <row r="808" spans="1:34" ht="14.25" hidden="1" customHeight="1">
      <c r="A808" s="19"/>
      <c r="B808" s="19"/>
      <c r="C808" s="19"/>
      <c r="D808" s="5"/>
      <c r="E808" s="5"/>
      <c r="F808" s="19"/>
      <c r="G808" s="5"/>
      <c r="H808" s="19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</row>
    <row r="809" spans="1:34" ht="14.25" hidden="1" customHeight="1">
      <c r="A809" s="19"/>
      <c r="B809" s="19"/>
      <c r="C809" s="19"/>
      <c r="D809" s="5"/>
      <c r="E809" s="5"/>
      <c r="F809" s="19"/>
      <c r="G809" s="5"/>
      <c r="H809" s="19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</row>
    <row r="810" spans="1:34" ht="14.25" hidden="1" customHeight="1">
      <c r="A810" s="19"/>
      <c r="B810" s="19"/>
      <c r="C810" s="19"/>
      <c r="D810" s="5"/>
      <c r="E810" s="5"/>
      <c r="F810" s="19"/>
      <c r="G810" s="5"/>
      <c r="H810" s="19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</row>
    <row r="811" spans="1:34" ht="14.25" hidden="1" customHeight="1">
      <c r="A811" s="19"/>
      <c r="B811" s="19"/>
      <c r="C811" s="19"/>
      <c r="D811" s="5"/>
      <c r="E811" s="5"/>
      <c r="F811" s="19"/>
      <c r="G811" s="5"/>
      <c r="H811" s="19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</row>
    <row r="812" spans="1:34" ht="14.25" hidden="1" customHeight="1">
      <c r="A812" s="19"/>
      <c r="B812" s="19"/>
      <c r="C812" s="19"/>
      <c r="D812" s="5"/>
      <c r="E812" s="5"/>
      <c r="F812" s="19"/>
      <c r="G812" s="5"/>
      <c r="H812" s="19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</row>
    <row r="813" spans="1:34" ht="14.25" hidden="1" customHeight="1">
      <c r="A813" s="19"/>
      <c r="B813" s="19"/>
      <c r="C813" s="19"/>
      <c r="D813" s="5"/>
      <c r="E813" s="5"/>
      <c r="F813" s="19"/>
      <c r="G813" s="5"/>
      <c r="H813" s="19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</row>
    <row r="814" spans="1:34" ht="14.25" hidden="1" customHeight="1">
      <c r="A814" s="19"/>
      <c r="B814" s="19"/>
      <c r="C814" s="19"/>
      <c r="D814" s="5"/>
      <c r="E814" s="5"/>
      <c r="F814" s="19"/>
      <c r="G814" s="5"/>
      <c r="H814" s="19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</row>
    <row r="815" spans="1:34" ht="14.25" hidden="1" customHeight="1">
      <c r="A815" s="19"/>
      <c r="B815" s="19"/>
      <c r="C815" s="19"/>
      <c r="D815" s="5"/>
      <c r="E815" s="5"/>
      <c r="F815" s="19"/>
      <c r="G815" s="5"/>
      <c r="H815" s="19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</row>
    <row r="816" spans="1:34" ht="14.25" hidden="1" customHeight="1">
      <c r="A816" s="19"/>
      <c r="B816" s="19"/>
      <c r="C816" s="19"/>
      <c r="D816" s="5"/>
      <c r="E816" s="5"/>
      <c r="F816" s="19"/>
      <c r="G816" s="5"/>
      <c r="H816" s="19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</row>
    <row r="817" spans="1:34" ht="14.25" hidden="1" customHeight="1">
      <c r="A817" s="19"/>
      <c r="B817" s="19"/>
      <c r="C817" s="19"/>
      <c r="D817" s="5"/>
      <c r="E817" s="5"/>
      <c r="F817" s="19"/>
      <c r="G817" s="5"/>
      <c r="H817" s="19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</row>
    <row r="818" spans="1:34" ht="14.25" hidden="1" customHeight="1">
      <c r="A818" s="19"/>
      <c r="B818" s="19"/>
      <c r="C818" s="19"/>
      <c r="D818" s="5"/>
      <c r="E818" s="5"/>
      <c r="F818" s="19"/>
      <c r="G818" s="5"/>
      <c r="H818" s="19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</row>
    <row r="819" spans="1:34" ht="14.25" hidden="1" customHeight="1">
      <c r="A819" s="19"/>
      <c r="B819" s="19"/>
      <c r="C819" s="19"/>
      <c r="D819" s="5"/>
      <c r="E819" s="5"/>
      <c r="F819" s="19"/>
      <c r="G819" s="5"/>
      <c r="H819" s="19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</row>
    <row r="820" spans="1:34" ht="14.25" hidden="1" customHeight="1">
      <c r="A820" s="19"/>
      <c r="B820" s="19"/>
      <c r="C820" s="19"/>
      <c r="D820" s="5"/>
      <c r="E820" s="5"/>
      <c r="F820" s="19"/>
      <c r="G820" s="5"/>
      <c r="H820" s="19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</row>
    <row r="821" spans="1:34" ht="14.25" hidden="1" customHeight="1">
      <c r="A821" s="19"/>
      <c r="B821" s="19"/>
      <c r="C821" s="19"/>
      <c r="D821" s="5"/>
      <c r="E821" s="5"/>
      <c r="F821" s="19"/>
      <c r="G821" s="5"/>
      <c r="H821" s="19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</row>
    <row r="822" spans="1:34" ht="14.25" hidden="1" customHeight="1">
      <c r="A822" s="19"/>
      <c r="B822" s="19"/>
      <c r="C822" s="19"/>
      <c r="D822" s="5"/>
      <c r="E822" s="5"/>
      <c r="F822" s="19"/>
      <c r="G822" s="5"/>
      <c r="H822" s="19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</row>
    <row r="823" spans="1:34" ht="14.25" hidden="1" customHeight="1">
      <c r="A823" s="19"/>
      <c r="B823" s="19"/>
      <c r="C823" s="19"/>
      <c r="D823" s="5"/>
      <c r="E823" s="5"/>
      <c r="F823" s="19"/>
      <c r="G823" s="5"/>
      <c r="H823" s="19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</row>
    <row r="824" spans="1:34" ht="14.25" hidden="1" customHeight="1">
      <c r="A824" s="19"/>
      <c r="B824" s="19"/>
      <c r="C824" s="19"/>
      <c r="D824" s="5"/>
      <c r="E824" s="5"/>
      <c r="F824" s="19"/>
      <c r="G824" s="5"/>
      <c r="H824" s="19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</row>
    <row r="825" spans="1:34" ht="14.25" hidden="1" customHeight="1">
      <c r="A825" s="19"/>
      <c r="B825" s="19"/>
      <c r="C825" s="19"/>
      <c r="D825" s="5"/>
      <c r="E825" s="5"/>
      <c r="F825" s="19"/>
      <c r="G825" s="5"/>
      <c r="H825" s="19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</row>
    <row r="826" spans="1:34" ht="14.25" hidden="1" customHeight="1">
      <c r="A826" s="19"/>
      <c r="B826" s="19"/>
      <c r="C826" s="19"/>
      <c r="D826" s="5"/>
      <c r="E826" s="5"/>
      <c r="F826" s="19"/>
      <c r="G826" s="5"/>
      <c r="H826" s="19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</row>
    <row r="827" spans="1:34" ht="14.25" hidden="1" customHeight="1">
      <c r="A827" s="19"/>
      <c r="B827" s="19"/>
      <c r="C827" s="19"/>
      <c r="D827" s="5"/>
      <c r="E827" s="5"/>
      <c r="F827" s="19"/>
      <c r="G827" s="5"/>
      <c r="H827" s="19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</row>
    <row r="828" spans="1:34" ht="14.25" hidden="1" customHeight="1">
      <c r="A828" s="19"/>
      <c r="B828" s="19"/>
      <c r="C828" s="19"/>
      <c r="D828" s="5"/>
      <c r="E828" s="5"/>
      <c r="F828" s="19"/>
      <c r="G828" s="5"/>
      <c r="H828" s="19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</row>
    <row r="829" spans="1:34" ht="14.25" hidden="1" customHeight="1">
      <c r="A829" s="19"/>
      <c r="B829" s="19"/>
      <c r="C829" s="19"/>
      <c r="D829" s="5"/>
      <c r="E829" s="5"/>
      <c r="F829" s="19"/>
      <c r="G829" s="5"/>
      <c r="H829" s="19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</row>
    <row r="830" spans="1:34" ht="14.25" hidden="1" customHeight="1">
      <c r="A830" s="19"/>
      <c r="B830" s="19"/>
      <c r="C830" s="19"/>
      <c r="D830" s="5"/>
      <c r="E830" s="5"/>
      <c r="F830" s="19"/>
      <c r="G830" s="5"/>
      <c r="H830" s="19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</row>
    <row r="831" spans="1:34" ht="14.25" hidden="1" customHeight="1">
      <c r="A831" s="19"/>
      <c r="B831" s="19"/>
      <c r="C831" s="19"/>
      <c r="D831" s="5"/>
      <c r="E831" s="5"/>
      <c r="F831" s="19"/>
      <c r="G831" s="5"/>
      <c r="H831" s="19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</row>
    <row r="832" spans="1:34" ht="14.25" hidden="1" customHeight="1">
      <c r="A832" s="19"/>
      <c r="B832" s="19"/>
      <c r="C832" s="19"/>
      <c r="D832" s="5"/>
      <c r="E832" s="5"/>
      <c r="F832" s="19"/>
      <c r="G832" s="5"/>
      <c r="H832" s="19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</row>
    <row r="833" spans="1:34" ht="14.25" hidden="1" customHeight="1">
      <c r="A833" s="19"/>
      <c r="B833" s="19"/>
      <c r="C833" s="19"/>
      <c r="D833" s="5"/>
      <c r="E833" s="5"/>
      <c r="F833" s="19"/>
      <c r="G833" s="5"/>
      <c r="H833" s="19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</row>
    <row r="834" spans="1:34" ht="14.25" hidden="1" customHeight="1">
      <c r="A834" s="19"/>
      <c r="B834" s="19"/>
      <c r="C834" s="19"/>
      <c r="D834" s="5"/>
      <c r="E834" s="5"/>
      <c r="F834" s="19"/>
      <c r="G834" s="5"/>
      <c r="H834" s="19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</row>
    <row r="835" spans="1:34" ht="14.25" hidden="1" customHeight="1">
      <c r="A835" s="19"/>
      <c r="B835" s="19"/>
      <c r="C835" s="19"/>
      <c r="D835" s="5"/>
      <c r="E835" s="5"/>
      <c r="F835" s="19"/>
      <c r="G835" s="5"/>
      <c r="H835" s="19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</row>
    <row r="836" spans="1:34" ht="14.25" hidden="1" customHeight="1">
      <c r="A836" s="19"/>
      <c r="B836" s="19"/>
      <c r="C836" s="19"/>
      <c r="D836" s="5"/>
      <c r="E836" s="5"/>
      <c r="F836" s="19"/>
      <c r="G836" s="5"/>
      <c r="H836" s="19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</row>
    <row r="837" spans="1:34" ht="14.25" hidden="1" customHeight="1">
      <c r="A837" s="19"/>
      <c r="B837" s="19"/>
      <c r="C837" s="19"/>
      <c r="D837" s="5"/>
      <c r="E837" s="5"/>
      <c r="F837" s="19"/>
      <c r="G837" s="5"/>
      <c r="H837" s="19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</row>
    <row r="838" spans="1:34" ht="14.25" hidden="1" customHeight="1">
      <c r="A838" s="19"/>
      <c r="B838" s="19"/>
      <c r="C838" s="19"/>
      <c r="D838" s="5"/>
      <c r="E838" s="5"/>
      <c r="F838" s="19"/>
      <c r="G838" s="5"/>
      <c r="H838" s="19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</row>
    <row r="839" spans="1:34" ht="14.25" hidden="1" customHeight="1">
      <c r="A839" s="19"/>
      <c r="B839" s="19"/>
      <c r="C839" s="19"/>
      <c r="D839" s="5"/>
      <c r="E839" s="5"/>
      <c r="F839" s="19"/>
      <c r="G839" s="5"/>
      <c r="H839" s="19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</row>
    <row r="840" spans="1:34" ht="14.25" hidden="1" customHeight="1">
      <c r="A840" s="19"/>
      <c r="B840" s="19"/>
      <c r="C840" s="19"/>
      <c r="D840" s="5"/>
      <c r="E840" s="5"/>
      <c r="F840" s="19"/>
      <c r="G840" s="5"/>
      <c r="H840" s="19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</row>
    <row r="841" spans="1:34" ht="14.25" hidden="1" customHeight="1">
      <c r="A841" s="19"/>
      <c r="B841" s="19"/>
      <c r="C841" s="19"/>
      <c r="D841" s="5"/>
      <c r="E841" s="5"/>
      <c r="F841" s="19"/>
      <c r="G841" s="5"/>
      <c r="H841" s="19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</row>
    <row r="842" spans="1:34" ht="14.25" hidden="1" customHeight="1">
      <c r="A842" s="19"/>
      <c r="B842" s="19"/>
      <c r="C842" s="19"/>
      <c r="D842" s="5"/>
      <c r="E842" s="5"/>
      <c r="F842" s="19"/>
      <c r="G842" s="5"/>
      <c r="H842" s="19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</row>
    <row r="843" spans="1:34" ht="14.25" hidden="1" customHeight="1">
      <c r="A843" s="19"/>
      <c r="B843" s="19"/>
      <c r="C843" s="19"/>
      <c r="D843" s="5"/>
      <c r="E843" s="5"/>
      <c r="F843" s="19"/>
      <c r="G843" s="5"/>
      <c r="H843" s="19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</row>
    <row r="844" spans="1:34" ht="14.25" hidden="1" customHeight="1">
      <c r="A844" s="19"/>
      <c r="B844" s="19"/>
      <c r="C844" s="19"/>
      <c r="D844" s="5"/>
      <c r="E844" s="5"/>
      <c r="F844" s="19"/>
      <c r="G844" s="5"/>
      <c r="H844" s="19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</row>
    <row r="845" spans="1:34" ht="14.25" hidden="1" customHeight="1">
      <c r="A845" s="19"/>
      <c r="B845" s="19"/>
      <c r="C845" s="19"/>
      <c r="D845" s="5"/>
      <c r="E845" s="5"/>
      <c r="F845" s="19"/>
      <c r="G845" s="5"/>
      <c r="H845" s="19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</row>
    <row r="846" spans="1:34" ht="14.25" hidden="1" customHeight="1">
      <c r="A846" s="19"/>
      <c r="B846" s="19"/>
      <c r="C846" s="19"/>
      <c r="D846" s="5"/>
      <c r="E846" s="5"/>
      <c r="F846" s="19"/>
      <c r="G846" s="5"/>
      <c r="H846" s="19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</row>
    <row r="847" spans="1:34" ht="14.25" hidden="1" customHeight="1">
      <c r="A847" s="19"/>
      <c r="B847" s="19"/>
      <c r="C847" s="19"/>
      <c r="D847" s="5"/>
      <c r="E847" s="5"/>
      <c r="F847" s="19"/>
      <c r="G847" s="5"/>
      <c r="H847" s="19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</row>
    <row r="848" spans="1:34" ht="14.25" hidden="1" customHeight="1">
      <c r="A848" s="19"/>
      <c r="B848" s="19"/>
      <c r="C848" s="19"/>
      <c r="D848" s="5"/>
      <c r="E848" s="5"/>
      <c r="F848" s="19"/>
      <c r="G848" s="5"/>
      <c r="H848" s="19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</row>
    <row r="849" spans="1:34" ht="14.25" hidden="1" customHeight="1">
      <c r="A849" s="19"/>
      <c r="B849" s="19"/>
      <c r="C849" s="19"/>
      <c r="D849" s="5"/>
      <c r="E849" s="5"/>
      <c r="F849" s="19"/>
      <c r="G849" s="5"/>
      <c r="H849" s="19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</row>
    <row r="850" spans="1:34" ht="14.25" hidden="1" customHeight="1">
      <c r="A850" s="19"/>
      <c r="B850" s="19"/>
      <c r="C850" s="19"/>
      <c r="D850" s="5"/>
      <c r="E850" s="5"/>
      <c r="F850" s="19"/>
      <c r="G850" s="5"/>
      <c r="H850" s="19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</row>
    <row r="851" spans="1:34" ht="14.25" hidden="1" customHeight="1">
      <c r="A851" s="19"/>
      <c r="B851" s="19"/>
      <c r="C851" s="19"/>
      <c r="D851" s="5"/>
      <c r="E851" s="5"/>
      <c r="F851" s="19"/>
      <c r="G851" s="5"/>
      <c r="H851" s="19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</row>
    <row r="852" spans="1:34" ht="14.25" hidden="1" customHeight="1">
      <c r="A852" s="19"/>
      <c r="B852" s="19"/>
      <c r="C852" s="19"/>
      <c r="D852" s="5"/>
      <c r="E852" s="5"/>
      <c r="F852" s="19"/>
      <c r="G852" s="5"/>
      <c r="H852" s="19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</row>
    <row r="853" spans="1:34" ht="14.25" hidden="1" customHeight="1">
      <c r="A853" s="19"/>
      <c r="B853" s="19"/>
      <c r="C853" s="19"/>
      <c r="D853" s="5"/>
      <c r="E853" s="5"/>
      <c r="F853" s="19"/>
      <c r="G853" s="5"/>
      <c r="H853" s="19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</row>
    <row r="854" spans="1:34" ht="14.25" hidden="1" customHeight="1">
      <c r="A854" s="19"/>
      <c r="B854" s="19"/>
      <c r="C854" s="19"/>
      <c r="D854" s="5"/>
      <c r="E854" s="5"/>
      <c r="F854" s="19"/>
      <c r="G854" s="5"/>
      <c r="H854" s="19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</row>
    <row r="855" spans="1:34" ht="14.25" hidden="1" customHeight="1">
      <c r="A855" s="19"/>
      <c r="B855" s="19"/>
      <c r="C855" s="19"/>
      <c r="D855" s="5"/>
      <c r="E855" s="5"/>
      <c r="F855" s="19"/>
      <c r="G855" s="5"/>
      <c r="H855" s="19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</row>
    <row r="856" spans="1:34" ht="14.25" hidden="1" customHeight="1">
      <c r="A856" s="19"/>
      <c r="B856" s="19"/>
      <c r="C856" s="19"/>
      <c r="D856" s="5"/>
      <c r="E856" s="5"/>
      <c r="F856" s="19"/>
      <c r="G856" s="5"/>
      <c r="H856" s="19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</row>
    <row r="857" spans="1:34" ht="14.25" hidden="1" customHeight="1">
      <c r="A857" s="19"/>
      <c r="B857" s="19"/>
      <c r="C857" s="19"/>
      <c r="D857" s="5"/>
      <c r="E857" s="5"/>
      <c r="F857" s="19"/>
      <c r="G857" s="5"/>
      <c r="H857" s="19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</row>
    <row r="858" spans="1:34" ht="14.25" hidden="1" customHeight="1">
      <c r="A858" s="19"/>
      <c r="B858" s="19"/>
      <c r="C858" s="19"/>
      <c r="D858" s="5"/>
      <c r="E858" s="5"/>
      <c r="F858" s="19"/>
      <c r="G858" s="5"/>
      <c r="H858" s="19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</row>
    <row r="859" spans="1:34" ht="14.25" hidden="1" customHeight="1">
      <c r="A859" s="19"/>
      <c r="B859" s="19"/>
      <c r="C859" s="19"/>
      <c r="D859" s="5"/>
      <c r="E859" s="5"/>
      <c r="F859" s="19"/>
      <c r="G859" s="5"/>
      <c r="H859" s="19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</row>
    <row r="860" spans="1:34" ht="14.25" hidden="1" customHeight="1">
      <c r="A860" s="19"/>
      <c r="B860" s="19"/>
      <c r="C860" s="19"/>
      <c r="D860" s="5"/>
      <c r="E860" s="5"/>
      <c r="F860" s="19"/>
      <c r="G860" s="5"/>
      <c r="H860" s="19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</row>
    <row r="861" spans="1:34" ht="14.25" hidden="1" customHeight="1">
      <c r="A861" s="19"/>
      <c r="B861" s="19"/>
      <c r="C861" s="19"/>
      <c r="D861" s="5"/>
      <c r="E861" s="5"/>
      <c r="F861" s="19"/>
      <c r="G861" s="5"/>
      <c r="H861" s="19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</row>
    <row r="862" spans="1:34" ht="14.25" hidden="1" customHeight="1">
      <c r="A862" s="19"/>
      <c r="B862" s="19"/>
      <c r="C862" s="19"/>
      <c r="D862" s="5"/>
      <c r="E862" s="5"/>
      <c r="F862" s="19"/>
      <c r="G862" s="5"/>
      <c r="H862" s="19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</row>
    <row r="863" spans="1:34" ht="14.25" hidden="1" customHeight="1">
      <c r="A863" s="19"/>
      <c r="B863" s="19"/>
      <c r="C863" s="19"/>
      <c r="D863" s="5"/>
      <c r="E863" s="5"/>
      <c r="F863" s="19"/>
      <c r="G863" s="5"/>
      <c r="H863" s="19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</row>
    <row r="864" spans="1:34" ht="14.25" hidden="1" customHeight="1">
      <c r="A864" s="19"/>
      <c r="B864" s="19"/>
      <c r="C864" s="19"/>
      <c r="D864" s="5"/>
      <c r="E864" s="5"/>
      <c r="F864" s="19"/>
      <c r="G864" s="5"/>
      <c r="H864" s="19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</row>
    <row r="865" spans="1:34" ht="14.25" hidden="1" customHeight="1">
      <c r="A865" s="19"/>
      <c r="B865" s="19"/>
      <c r="C865" s="19"/>
      <c r="D865" s="5"/>
      <c r="E865" s="5"/>
      <c r="F865" s="19"/>
      <c r="G865" s="5"/>
      <c r="H865" s="19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</row>
    <row r="866" spans="1:34" ht="14.25" hidden="1" customHeight="1">
      <c r="A866" s="19"/>
      <c r="B866" s="19"/>
      <c r="C866" s="19"/>
      <c r="D866" s="5"/>
      <c r="E866" s="5"/>
      <c r="F866" s="19"/>
      <c r="G866" s="5"/>
      <c r="H866" s="19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</row>
    <row r="867" spans="1:34" ht="14.25" hidden="1" customHeight="1">
      <c r="A867" s="19"/>
      <c r="B867" s="19"/>
      <c r="C867" s="19"/>
      <c r="D867" s="5"/>
      <c r="E867" s="5"/>
      <c r="F867" s="19"/>
      <c r="G867" s="5"/>
      <c r="H867" s="19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</row>
    <row r="868" spans="1:34" ht="14.25" hidden="1" customHeight="1">
      <c r="A868" s="19"/>
      <c r="B868" s="19"/>
      <c r="C868" s="19"/>
      <c r="D868" s="5"/>
      <c r="E868" s="5"/>
      <c r="F868" s="19"/>
      <c r="G868" s="5"/>
      <c r="H868" s="19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</row>
    <row r="869" spans="1:34" ht="14.25" hidden="1" customHeight="1">
      <c r="A869" s="19"/>
      <c r="B869" s="19"/>
      <c r="C869" s="19"/>
      <c r="D869" s="5"/>
      <c r="E869" s="5"/>
      <c r="F869" s="19"/>
      <c r="G869" s="5"/>
      <c r="H869" s="19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</row>
    <row r="870" spans="1:34" ht="14.25" hidden="1" customHeight="1">
      <c r="A870" s="19"/>
      <c r="B870" s="19"/>
      <c r="C870" s="19"/>
      <c r="D870" s="5"/>
      <c r="E870" s="5"/>
      <c r="F870" s="19"/>
      <c r="G870" s="5"/>
      <c r="H870" s="19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</row>
    <row r="871" spans="1:34" ht="14.25" hidden="1" customHeight="1">
      <c r="A871" s="19"/>
      <c r="B871" s="19"/>
      <c r="C871" s="19"/>
      <c r="D871" s="5"/>
      <c r="E871" s="5"/>
      <c r="F871" s="19"/>
      <c r="G871" s="5"/>
      <c r="H871" s="19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</row>
    <row r="872" spans="1:34" ht="14.25" hidden="1" customHeight="1">
      <c r="A872" s="19"/>
      <c r="B872" s="19"/>
      <c r="C872" s="19"/>
      <c r="D872" s="5"/>
      <c r="E872" s="5"/>
      <c r="F872" s="19"/>
      <c r="G872" s="5"/>
      <c r="H872" s="19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</row>
    <row r="873" spans="1:34" ht="14.25" hidden="1" customHeight="1">
      <c r="A873" s="19"/>
      <c r="B873" s="19"/>
      <c r="C873" s="19"/>
      <c r="D873" s="5"/>
      <c r="E873" s="5"/>
      <c r="F873" s="19"/>
      <c r="G873" s="5"/>
      <c r="H873" s="19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</row>
    <row r="874" spans="1:34" ht="14.25" hidden="1" customHeight="1">
      <c r="A874" s="19"/>
      <c r="B874" s="19"/>
      <c r="C874" s="19"/>
      <c r="D874" s="5"/>
      <c r="E874" s="5"/>
      <c r="F874" s="19"/>
      <c r="G874" s="5"/>
      <c r="H874" s="19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</row>
    <row r="875" spans="1:34" ht="14.25" hidden="1" customHeight="1">
      <c r="A875" s="19"/>
      <c r="B875" s="19"/>
      <c r="C875" s="19"/>
      <c r="D875" s="5"/>
      <c r="E875" s="5"/>
      <c r="F875" s="19"/>
      <c r="G875" s="5"/>
      <c r="H875" s="19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</row>
    <row r="876" spans="1:34" ht="14.25" hidden="1" customHeight="1">
      <c r="A876" s="19"/>
      <c r="B876" s="19"/>
      <c r="C876" s="19"/>
      <c r="D876" s="5"/>
      <c r="E876" s="5"/>
      <c r="F876" s="19"/>
      <c r="G876" s="5"/>
      <c r="H876" s="19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</row>
    <row r="877" spans="1:34" ht="14.25" hidden="1" customHeight="1">
      <c r="A877" s="19"/>
      <c r="B877" s="19"/>
      <c r="C877" s="19"/>
      <c r="D877" s="5"/>
      <c r="E877" s="5"/>
      <c r="F877" s="19"/>
      <c r="G877" s="5"/>
      <c r="H877" s="19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</row>
    <row r="878" spans="1:34" ht="14.25" hidden="1" customHeight="1">
      <c r="A878" s="19"/>
      <c r="B878" s="19"/>
      <c r="C878" s="19"/>
      <c r="D878" s="5"/>
      <c r="E878" s="5"/>
      <c r="F878" s="19"/>
      <c r="G878" s="5"/>
      <c r="H878" s="19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</row>
    <row r="879" spans="1:34" ht="14.25" hidden="1" customHeight="1">
      <c r="A879" s="19"/>
      <c r="B879" s="19"/>
      <c r="C879" s="19"/>
      <c r="D879" s="5"/>
      <c r="E879" s="5"/>
      <c r="F879" s="19"/>
      <c r="G879" s="5"/>
      <c r="H879" s="19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</row>
    <row r="880" spans="1:34" ht="14.25" hidden="1" customHeight="1">
      <c r="A880" s="19"/>
      <c r="B880" s="19"/>
      <c r="C880" s="19"/>
      <c r="D880" s="5"/>
      <c r="E880" s="5"/>
      <c r="F880" s="19"/>
      <c r="G880" s="5"/>
      <c r="H880" s="19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</row>
    <row r="881" spans="1:34" ht="14.25" hidden="1" customHeight="1">
      <c r="A881" s="19"/>
      <c r="B881" s="19"/>
      <c r="C881" s="19"/>
      <c r="D881" s="5"/>
      <c r="E881" s="5"/>
      <c r="F881" s="19"/>
      <c r="G881" s="5"/>
      <c r="H881" s="19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</row>
    <row r="882" spans="1:34" ht="14.25" hidden="1" customHeight="1">
      <c r="A882" s="19"/>
      <c r="B882" s="19"/>
      <c r="C882" s="19"/>
      <c r="D882" s="5"/>
      <c r="E882" s="5"/>
      <c r="F882" s="19"/>
      <c r="G882" s="5"/>
      <c r="H882" s="19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</row>
    <row r="883" spans="1:34" ht="14.25" hidden="1" customHeight="1">
      <c r="A883" s="19"/>
      <c r="B883" s="19"/>
      <c r="C883" s="19"/>
      <c r="D883" s="5"/>
      <c r="E883" s="5"/>
      <c r="F883" s="19"/>
      <c r="G883" s="5"/>
      <c r="H883" s="19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</row>
    <row r="884" spans="1:34" ht="14.25" hidden="1" customHeight="1">
      <c r="A884" s="19"/>
      <c r="B884" s="19"/>
      <c r="C884" s="19"/>
      <c r="D884" s="5"/>
      <c r="E884" s="5"/>
      <c r="F884" s="19"/>
      <c r="G884" s="5"/>
      <c r="H884" s="19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</row>
    <row r="885" spans="1:34" ht="14.25" hidden="1" customHeight="1">
      <c r="A885" s="19"/>
      <c r="B885" s="19"/>
      <c r="C885" s="19"/>
      <c r="D885" s="5"/>
      <c r="E885" s="5"/>
      <c r="F885" s="19"/>
      <c r="G885" s="5"/>
      <c r="H885" s="19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</row>
    <row r="886" spans="1:34" ht="14.25" hidden="1" customHeight="1">
      <c r="A886" s="19"/>
      <c r="B886" s="19"/>
      <c r="C886" s="19"/>
      <c r="D886" s="5"/>
      <c r="E886" s="5"/>
      <c r="F886" s="19"/>
      <c r="G886" s="5"/>
      <c r="H886" s="19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</row>
    <row r="887" spans="1:34" ht="14.25" hidden="1" customHeight="1">
      <c r="A887" s="19"/>
      <c r="B887" s="19"/>
      <c r="C887" s="19"/>
      <c r="D887" s="5"/>
      <c r="E887" s="5"/>
      <c r="F887" s="19"/>
      <c r="G887" s="5"/>
      <c r="H887" s="19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</row>
    <row r="888" spans="1:34" ht="14.25" hidden="1" customHeight="1">
      <c r="A888" s="19"/>
      <c r="B888" s="19"/>
      <c r="C888" s="19"/>
      <c r="D888" s="5"/>
      <c r="E888" s="5"/>
      <c r="F888" s="19"/>
      <c r="G888" s="5"/>
      <c r="H888" s="19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</row>
    <row r="889" spans="1:34" ht="14.25" hidden="1" customHeight="1">
      <c r="A889" s="19"/>
      <c r="B889" s="19"/>
      <c r="C889" s="19"/>
      <c r="D889" s="5"/>
      <c r="E889" s="5"/>
      <c r="F889" s="19"/>
      <c r="G889" s="5"/>
      <c r="H889" s="19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</row>
    <row r="890" spans="1:34" ht="14.25" hidden="1" customHeight="1">
      <c r="A890" s="19"/>
      <c r="B890" s="19"/>
      <c r="C890" s="19"/>
      <c r="D890" s="5"/>
      <c r="E890" s="5"/>
      <c r="F890" s="19"/>
      <c r="G890" s="5"/>
      <c r="H890" s="19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</row>
    <row r="891" spans="1:34" ht="14.25" hidden="1" customHeight="1">
      <c r="A891" s="19"/>
      <c r="B891" s="19"/>
      <c r="C891" s="19"/>
      <c r="D891" s="5"/>
      <c r="E891" s="5"/>
      <c r="F891" s="19"/>
      <c r="G891" s="5"/>
      <c r="H891" s="19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</row>
    <row r="892" spans="1:34" ht="14.25" hidden="1" customHeight="1">
      <c r="A892" s="19"/>
      <c r="B892" s="19"/>
      <c r="C892" s="19"/>
      <c r="D892" s="5"/>
      <c r="E892" s="5"/>
      <c r="F892" s="19"/>
      <c r="G892" s="5"/>
      <c r="H892" s="19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</row>
    <row r="893" spans="1:34" ht="14.25" hidden="1" customHeight="1">
      <c r="A893" s="19"/>
      <c r="B893" s="19"/>
      <c r="C893" s="19"/>
      <c r="D893" s="5"/>
      <c r="E893" s="5"/>
      <c r="F893" s="19"/>
      <c r="G893" s="5"/>
      <c r="H893" s="19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</row>
    <row r="894" spans="1:34" ht="14.25" hidden="1" customHeight="1">
      <c r="A894" s="19"/>
      <c r="B894" s="19"/>
      <c r="C894" s="19"/>
      <c r="D894" s="5"/>
      <c r="E894" s="5"/>
      <c r="F894" s="19"/>
      <c r="G894" s="5"/>
      <c r="H894" s="19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</row>
    <row r="895" spans="1:34" ht="14.25" hidden="1" customHeight="1">
      <c r="A895" s="19"/>
      <c r="B895" s="19"/>
      <c r="C895" s="19"/>
      <c r="D895" s="5"/>
      <c r="E895" s="5"/>
      <c r="F895" s="19"/>
      <c r="G895" s="5"/>
      <c r="H895" s="19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</row>
    <row r="896" spans="1:34" ht="14.25" hidden="1" customHeight="1">
      <c r="A896" s="19"/>
      <c r="B896" s="19"/>
      <c r="C896" s="19"/>
      <c r="D896" s="5"/>
      <c r="E896" s="5"/>
      <c r="F896" s="19"/>
      <c r="G896" s="5"/>
      <c r="H896" s="19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</row>
    <row r="897" spans="1:34" ht="14.25" hidden="1" customHeight="1">
      <c r="A897" s="19"/>
      <c r="B897" s="19"/>
      <c r="C897" s="19"/>
      <c r="D897" s="5"/>
      <c r="E897" s="5"/>
      <c r="F897" s="19"/>
      <c r="G897" s="5"/>
      <c r="H897" s="19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</row>
    <row r="898" spans="1:34" ht="14.25" hidden="1" customHeight="1">
      <c r="A898" s="19"/>
      <c r="B898" s="19"/>
      <c r="C898" s="19"/>
      <c r="D898" s="5"/>
      <c r="E898" s="5"/>
      <c r="F898" s="19"/>
      <c r="G898" s="5"/>
      <c r="H898" s="19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</row>
    <row r="899" spans="1:34" ht="14.25" hidden="1" customHeight="1">
      <c r="A899" s="19"/>
      <c r="B899" s="19"/>
      <c r="C899" s="19"/>
      <c r="D899" s="5"/>
      <c r="E899" s="5"/>
      <c r="F899" s="19"/>
      <c r="G899" s="5"/>
      <c r="H899" s="19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</row>
    <row r="900" spans="1:34" ht="14.25" hidden="1" customHeight="1">
      <c r="A900" s="19"/>
      <c r="B900" s="19"/>
      <c r="C900" s="19"/>
      <c r="D900" s="5"/>
      <c r="E900" s="5"/>
      <c r="F900" s="19"/>
      <c r="G900" s="5"/>
      <c r="H900" s="19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</row>
    <row r="901" spans="1:34" ht="14.25" hidden="1" customHeight="1">
      <c r="A901" s="19"/>
      <c r="B901" s="19"/>
      <c r="C901" s="19"/>
      <c r="D901" s="5"/>
      <c r="E901" s="5"/>
      <c r="F901" s="19"/>
      <c r="G901" s="5"/>
      <c r="H901" s="19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</row>
    <row r="902" spans="1:34" ht="14.25" hidden="1" customHeight="1">
      <c r="A902" s="19"/>
      <c r="B902" s="19"/>
      <c r="C902" s="19"/>
      <c r="D902" s="5"/>
      <c r="E902" s="5"/>
      <c r="F902" s="19"/>
      <c r="G902" s="5"/>
      <c r="H902" s="19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</row>
    <row r="903" spans="1:34" ht="14.25" hidden="1" customHeight="1">
      <c r="A903" s="19"/>
      <c r="B903" s="19"/>
      <c r="C903" s="19"/>
      <c r="D903" s="5"/>
      <c r="E903" s="5"/>
      <c r="F903" s="19"/>
      <c r="G903" s="5"/>
      <c r="H903" s="19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</row>
    <row r="904" spans="1:34" ht="14.25" hidden="1" customHeight="1">
      <c r="A904" s="19"/>
      <c r="B904" s="19"/>
      <c r="C904" s="19"/>
      <c r="D904" s="5"/>
      <c r="E904" s="5"/>
      <c r="F904" s="19"/>
      <c r="G904" s="5"/>
      <c r="H904" s="19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</row>
    <row r="905" spans="1:34" ht="14.25" hidden="1" customHeight="1">
      <c r="A905" s="19"/>
      <c r="B905" s="19"/>
      <c r="C905" s="19"/>
      <c r="D905" s="5"/>
      <c r="E905" s="5"/>
      <c r="F905" s="19"/>
      <c r="G905" s="5"/>
      <c r="H905" s="19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</row>
    <row r="906" spans="1:34" ht="14.25" hidden="1" customHeight="1">
      <c r="A906" s="19"/>
      <c r="B906" s="19"/>
      <c r="C906" s="19"/>
      <c r="D906" s="5"/>
      <c r="E906" s="5"/>
      <c r="F906" s="19"/>
      <c r="G906" s="5"/>
      <c r="H906" s="19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</row>
    <row r="907" spans="1:34" ht="14.25" hidden="1" customHeight="1">
      <c r="A907" s="19"/>
      <c r="B907" s="19"/>
      <c r="C907" s="19"/>
      <c r="D907" s="5"/>
      <c r="E907" s="5"/>
      <c r="F907" s="19"/>
      <c r="G907" s="5"/>
      <c r="H907" s="19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</row>
    <row r="908" spans="1:34" ht="14.25" hidden="1" customHeight="1">
      <c r="A908" s="19"/>
      <c r="B908" s="19"/>
      <c r="C908" s="19"/>
      <c r="D908" s="5"/>
      <c r="E908" s="5"/>
      <c r="F908" s="19"/>
      <c r="G908" s="5"/>
      <c r="H908" s="19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</row>
    <row r="909" spans="1:34" ht="14.25" hidden="1" customHeight="1">
      <c r="A909" s="19"/>
      <c r="B909" s="19"/>
      <c r="C909" s="19"/>
      <c r="D909" s="5"/>
      <c r="E909" s="5"/>
      <c r="F909" s="19"/>
      <c r="G909" s="5"/>
      <c r="H909" s="19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</row>
    <row r="910" spans="1:34" ht="14.25" hidden="1" customHeight="1">
      <c r="A910" s="19"/>
      <c r="B910" s="19"/>
      <c r="C910" s="19"/>
      <c r="D910" s="5"/>
      <c r="E910" s="5"/>
      <c r="F910" s="19"/>
      <c r="G910" s="5"/>
      <c r="H910" s="19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</row>
    <row r="911" spans="1:34" ht="14.25" hidden="1" customHeight="1">
      <c r="A911" s="19"/>
      <c r="B911" s="19"/>
      <c r="C911" s="19"/>
      <c r="D911" s="5"/>
      <c r="E911" s="5"/>
      <c r="F911" s="19"/>
      <c r="G911" s="5"/>
      <c r="H911" s="19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</row>
    <row r="912" spans="1:34" ht="14.25" hidden="1" customHeight="1">
      <c r="A912" s="19"/>
      <c r="B912" s="19"/>
      <c r="C912" s="19"/>
      <c r="D912" s="5"/>
      <c r="E912" s="5"/>
      <c r="F912" s="19"/>
      <c r="G912" s="5"/>
      <c r="H912" s="19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</row>
    <row r="913" spans="1:34" ht="14.25" hidden="1" customHeight="1">
      <c r="A913" s="19"/>
      <c r="B913" s="19"/>
      <c r="C913" s="19"/>
      <c r="D913" s="5"/>
      <c r="E913" s="5"/>
      <c r="F913" s="19"/>
      <c r="G913" s="5"/>
      <c r="H913" s="19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</row>
    <row r="914" spans="1:34" ht="14.25" hidden="1" customHeight="1">
      <c r="A914" s="19"/>
      <c r="B914" s="19"/>
      <c r="C914" s="19"/>
      <c r="D914" s="5"/>
      <c r="E914" s="5"/>
      <c r="F914" s="19"/>
      <c r="G914" s="5"/>
      <c r="H914" s="19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</row>
    <row r="915" spans="1:34" ht="14.25" hidden="1" customHeight="1">
      <c r="A915" s="19"/>
      <c r="B915" s="19"/>
      <c r="C915" s="19"/>
      <c r="D915" s="5"/>
      <c r="E915" s="5"/>
      <c r="F915" s="19"/>
      <c r="G915" s="5"/>
      <c r="H915" s="19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</row>
    <row r="916" spans="1:34" ht="14.25" hidden="1" customHeight="1">
      <c r="A916" s="19"/>
      <c r="B916" s="19"/>
      <c r="C916" s="19"/>
      <c r="D916" s="5"/>
      <c r="E916" s="5"/>
      <c r="F916" s="19"/>
      <c r="G916" s="5"/>
      <c r="H916" s="19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</row>
    <row r="917" spans="1:34" ht="14.25" hidden="1" customHeight="1">
      <c r="A917" s="19"/>
      <c r="B917" s="19"/>
      <c r="C917" s="19"/>
      <c r="D917" s="5"/>
      <c r="E917" s="5"/>
      <c r="F917" s="19"/>
      <c r="G917" s="5"/>
      <c r="H917" s="19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</row>
    <row r="918" spans="1:34" ht="14.25" hidden="1" customHeight="1">
      <c r="A918" s="19"/>
      <c r="B918" s="19"/>
      <c r="C918" s="19"/>
      <c r="D918" s="5"/>
      <c r="E918" s="5"/>
      <c r="F918" s="19"/>
      <c r="G918" s="5"/>
      <c r="H918" s="19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</row>
    <row r="919" spans="1:34" ht="14.25" hidden="1" customHeight="1">
      <c r="A919" s="19"/>
      <c r="B919" s="19"/>
      <c r="C919" s="19"/>
      <c r="D919" s="5"/>
      <c r="E919" s="5"/>
      <c r="F919" s="19"/>
      <c r="G919" s="5"/>
      <c r="H919" s="19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</row>
    <row r="920" spans="1:34" ht="14.25" hidden="1" customHeight="1">
      <c r="A920" s="19"/>
      <c r="B920" s="19"/>
      <c r="C920" s="19"/>
      <c r="D920" s="5"/>
      <c r="E920" s="5"/>
      <c r="F920" s="19"/>
      <c r="G920" s="5"/>
      <c r="H920" s="19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</row>
    <row r="921" spans="1:34" ht="14.25" hidden="1" customHeight="1">
      <c r="A921" s="19"/>
      <c r="B921" s="19"/>
      <c r="C921" s="19"/>
      <c r="D921" s="5"/>
      <c r="E921" s="5"/>
      <c r="F921" s="19"/>
      <c r="G921" s="5"/>
      <c r="H921" s="19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</row>
    <row r="922" spans="1:34" ht="14.25" hidden="1" customHeight="1">
      <c r="A922" s="19"/>
      <c r="B922" s="19"/>
      <c r="C922" s="19"/>
      <c r="D922" s="5"/>
      <c r="E922" s="5"/>
      <c r="F922" s="19"/>
      <c r="G922" s="5"/>
      <c r="H922" s="19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</row>
    <row r="923" spans="1:34" ht="14.25" hidden="1" customHeight="1">
      <c r="A923" s="19"/>
      <c r="B923" s="19"/>
      <c r="C923" s="19"/>
      <c r="D923" s="5"/>
      <c r="E923" s="5"/>
      <c r="F923" s="19"/>
      <c r="G923" s="5"/>
      <c r="H923" s="19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</row>
    <row r="924" spans="1:34" ht="14.25" hidden="1" customHeight="1">
      <c r="A924" s="19"/>
      <c r="B924" s="19"/>
      <c r="C924" s="19"/>
      <c r="D924" s="5"/>
      <c r="E924" s="5"/>
      <c r="F924" s="19"/>
      <c r="G924" s="5"/>
      <c r="H924" s="19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</row>
    <row r="925" spans="1:34" ht="14.25" hidden="1" customHeight="1">
      <c r="A925" s="19"/>
      <c r="B925" s="19"/>
      <c r="C925" s="19"/>
      <c r="D925" s="5"/>
      <c r="E925" s="5"/>
      <c r="F925" s="19"/>
      <c r="G925" s="5"/>
      <c r="H925" s="19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</row>
    <row r="926" spans="1:34" ht="14.25" hidden="1" customHeight="1">
      <c r="A926" s="19"/>
      <c r="B926" s="19"/>
      <c r="C926" s="19"/>
      <c r="D926" s="5"/>
      <c r="E926" s="5"/>
      <c r="F926" s="19"/>
      <c r="G926" s="5"/>
      <c r="H926" s="19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</row>
    <row r="927" spans="1:34" ht="14.25" hidden="1" customHeight="1">
      <c r="A927" s="19"/>
      <c r="B927" s="19"/>
      <c r="C927" s="19"/>
      <c r="D927" s="5"/>
      <c r="E927" s="5"/>
      <c r="F927" s="19"/>
      <c r="G927" s="5"/>
      <c r="H927" s="19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</row>
    <row r="928" spans="1:34" ht="14.25" hidden="1" customHeight="1">
      <c r="A928" s="19"/>
      <c r="B928" s="19"/>
      <c r="C928" s="19"/>
      <c r="D928" s="5"/>
      <c r="E928" s="5"/>
      <c r="F928" s="19"/>
      <c r="G928" s="5"/>
      <c r="H928" s="19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</row>
    <row r="929" spans="1:34" ht="14.25" hidden="1" customHeight="1">
      <c r="A929" s="19"/>
      <c r="B929" s="19"/>
      <c r="C929" s="19"/>
      <c r="D929" s="5"/>
      <c r="E929" s="5"/>
      <c r="F929" s="19"/>
      <c r="G929" s="5"/>
      <c r="H929" s="19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</row>
    <row r="930" spans="1:34" ht="14.25" hidden="1" customHeight="1">
      <c r="A930" s="19"/>
      <c r="B930" s="19"/>
      <c r="C930" s="19"/>
      <c r="D930" s="5"/>
      <c r="E930" s="5"/>
      <c r="F930" s="19"/>
      <c r="G930" s="5"/>
      <c r="H930" s="19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</row>
    <row r="931" spans="1:34" ht="14.25" hidden="1" customHeight="1">
      <c r="A931" s="19"/>
      <c r="B931" s="19"/>
      <c r="C931" s="19"/>
      <c r="D931" s="5"/>
      <c r="E931" s="5"/>
      <c r="F931" s="19"/>
      <c r="G931" s="5"/>
      <c r="H931" s="19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</row>
    <row r="932" spans="1:34" ht="14.25" hidden="1" customHeight="1">
      <c r="A932" s="19"/>
      <c r="B932" s="19"/>
      <c r="C932" s="19"/>
      <c r="D932" s="5"/>
      <c r="E932" s="5"/>
      <c r="F932" s="19"/>
      <c r="G932" s="5"/>
      <c r="H932" s="19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</row>
    <row r="933" spans="1:34" ht="14.25" hidden="1" customHeight="1">
      <c r="A933" s="19"/>
      <c r="B933" s="19"/>
      <c r="C933" s="19"/>
      <c r="D933" s="5"/>
      <c r="E933" s="5"/>
      <c r="F933" s="19"/>
      <c r="G933" s="5"/>
      <c r="H933" s="19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</row>
    <row r="934" spans="1:34" ht="14.25" hidden="1" customHeight="1">
      <c r="A934" s="19"/>
      <c r="B934" s="19"/>
      <c r="C934" s="19"/>
      <c r="D934" s="5"/>
      <c r="E934" s="5"/>
      <c r="F934" s="19"/>
      <c r="G934" s="5"/>
      <c r="H934" s="19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</row>
    <row r="935" spans="1:34" ht="14.25" hidden="1" customHeight="1">
      <c r="A935" s="19"/>
      <c r="B935" s="19"/>
      <c r="C935" s="19"/>
      <c r="D935" s="5"/>
      <c r="E935" s="5"/>
      <c r="F935" s="19"/>
      <c r="G935" s="5"/>
      <c r="H935" s="19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</row>
    <row r="936" spans="1:34" ht="14.25" hidden="1" customHeight="1">
      <c r="A936" s="19"/>
      <c r="B936" s="19"/>
      <c r="C936" s="19"/>
      <c r="D936" s="5"/>
      <c r="E936" s="5"/>
      <c r="F936" s="19"/>
      <c r="G936" s="5"/>
      <c r="H936" s="19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</row>
    <row r="937" spans="1:34" ht="14.25" hidden="1" customHeight="1">
      <c r="A937" s="19"/>
      <c r="B937" s="19"/>
      <c r="C937" s="19"/>
      <c r="D937" s="5"/>
      <c r="E937" s="5"/>
      <c r="F937" s="19"/>
      <c r="G937" s="5"/>
      <c r="H937" s="19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</row>
    <row r="938" spans="1:34" ht="14.25" hidden="1" customHeight="1">
      <c r="A938" s="19"/>
      <c r="B938" s="19"/>
      <c r="C938" s="19"/>
      <c r="D938" s="5"/>
      <c r="E938" s="5"/>
      <c r="F938" s="19"/>
      <c r="G938" s="5"/>
      <c r="H938" s="19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</row>
    <row r="939" spans="1:34" ht="14.25" hidden="1" customHeight="1">
      <c r="A939" s="19"/>
      <c r="B939" s="19"/>
      <c r="C939" s="19"/>
      <c r="D939" s="5"/>
      <c r="E939" s="5"/>
      <c r="F939" s="19"/>
      <c r="G939" s="5"/>
      <c r="H939" s="19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</row>
    <row r="940" spans="1:34" ht="14.25" hidden="1" customHeight="1">
      <c r="A940" s="19"/>
      <c r="B940" s="19"/>
      <c r="C940" s="19"/>
      <c r="D940" s="5"/>
      <c r="E940" s="5"/>
      <c r="F940" s="19"/>
      <c r="G940" s="5"/>
      <c r="H940" s="19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</row>
    <row r="941" spans="1:34" ht="14.25" hidden="1" customHeight="1">
      <c r="A941" s="19"/>
      <c r="B941" s="19"/>
      <c r="C941" s="19"/>
      <c r="D941" s="5"/>
      <c r="E941" s="5"/>
      <c r="F941" s="19"/>
      <c r="G941" s="5"/>
      <c r="H941" s="19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</row>
    <row r="942" spans="1:34" ht="14.25" hidden="1" customHeight="1">
      <c r="A942" s="19"/>
      <c r="B942" s="19"/>
      <c r="C942" s="19"/>
      <c r="D942" s="5"/>
      <c r="E942" s="5"/>
      <c r="F942" s="19"/>
      <c r="G942" s="5"/>
      <c r="H942" s="19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</row>
    <row r="943" spans="1:34" ht="14.25" hidden="1" customHeight="1">
      <c r="A943" s="19"/>
      <c r="B943" s="19"/>
      <c r="C943" s="19"/>
      <c r="D943" s="5"/>
      <c r="E943" s="5"/>
      <c r="F943" s="19"/>
      <c r="G943" s="5"/>
      <c r="H943" s="19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</row>
    <row r="944" spans="1:34" ht="14.25" hidden="1" customHeight="1">
      <c r="A944" s="19"/>
      <c r="B944" s="19"/>
      <c r="C944" s="19"/>
      <c r="D944" s="5"/>
      <c r="E944" s="5"/>
      <c r="F944" s="19"/>
      <c r="G944" s="5"/>
      <c r="H944" s="19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</row>
    <row r="945" spans="1:34" ht="14.25" hidden="1" customHeight="1">
      <c r="A945" s="19"/>
      <c r="B945" s="19"/>
      <c r="C945" s="19"/>
      <c r="D945" s="5"/>
      <c r="E945" s="5"/>
      <c r="F945" s="19"/>
      <c r="G945" s="5"/>
      <c r="H945" s="19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</row>
    <row r="946" spans="1:34" ht="14.25" hidden="1" customHeight="1">
      <c r="A946" s="19"/>
      <c r="B946" s="19"/>
      <c r="C946" s="19"/>
      <c r="D946" s="5"/>
      <c r="E946" s="5"/>
      <c r="F946" s="19"/>
      <c r="G946" s="5"/>
      <c r="H946" s="19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</row>
    <row r="947" spans="1:34" ht="14.25" hidden="1" customHeight="1">
      <c r="A947" s="19"/>
      <c r="B947" s="19"/>
      <c r="C947" s="19"/>
      <c r="D947" s="5"/>
      <c r="E947" s="5"/>
      <c r="F947" s="19"/>
      <c r="G947" s="5"/>
      <c r="H947" s="19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</row>
    <row r="948" spans="1:34" ht="14.25" hidden="1" customHeight="1">
      <c r="A948" s="19"/>
      <c r="B948" s="19"/>
      <c r="C948" s="19"/>
      <c r="D948" s="5"/>
      <c r="E948" s="5"/>
      <c r="F948" s="19"/>
      <c r="G948" s="5"/>
      <c r="H948" s="19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</row>
    <row r="949" spans="1:34" ht="14.25" hidden="1" customHeight="1">
      <c r="A949" s="19"/>
      <c r="B949" s="19"/>
      <c r="C949" s="19"/>
      <c r="D949" s="5"/>
      <c r="E949" s="5"/>
      <c r="F949" s="19"/>
      <c r="G949" s="5"/>
      <c r="H949" s="19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</row>
    <row r="950" spans="1:34" ht="14.25" hidden="1" customHeight="1">
      <c r="A950" s="19"/>
      <c r="B950" s="19"/>
      <c r="C950" s="19"/>
      <c r="D950" s="5"/>
      <c r="E950" s="5"/>
      <c r="F950" s="19"/>
      <c r="G950" s="5"/>
      <c r="H950" s="19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</row>
    <row r="951" spans="1:34" ht="14.25" hidden="1" customHeight="1">
      <c r="A951" s="19"/>
      <c r="B951" s="19"/>
      <c r="C951" s="19"/>
      <c r="D951" s="5"/>
      <c r="E951" s="5"/>
      <c r="F951" s="19"/>
      <c r="G951" s="5"/>
      <c r="H951" s="19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</row>
    <row r="952" spans="1:34" ht="14.25" hidden="1" customHeight="1">
      <c r="A952" s="19"/>
      <c r="B952" s="19"/>
      <c r="C952" s="19"/>
      <c r="D952" s="5"/>
      <c r="E952" s="5"/>
      <c r="F952" s="19"/>
      <c r="G952" s="5"/>
      <c r="H952" s="19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</row>
    <row r="953" spans="1:34" ht="14.25" hidden="1" customHeight="1">
      <c r="A953" s="19"/>
      <c r="B953" s="19"/>
      <c r="C953" s="19"/>
      <c r="D953" s="5"/>
      <c r="E953" s="5"/>
      <c r="F953" s="19"/>
      <c r="G953" s="5"/>
      <c r="H953" s="19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</row>
    <row r="954" spans="1:34" ht="14.25" hidden="1" customHeight="1">
      <c r="A954" s="19"/>
      <c r="B954" s="19"/>
      <c r="C954" s="19"/>
      <c r="D954" s="5"/>
      <c r="E954" s="5"/>
      <c r="F954" s="19"/>
      <c r="G954" s="5"/>
      <c r="H954" s="19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</row>
    <row r="955" spans="1:34" ht="14.25" hidden="1" customHeight="1">
      <c r="A955" s="19"/>
      <c r="B955" s="19"/>
      <c r="C955" s="19"/>
      <c r="D955" s="5"/>
      <c r="E955" s="5"/>
      <c r="F955" s="19"/>
      <c r="G955" s="5"/>
      <c r="H955" s="19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</row>
    <row r="956" spans="1:34" ht="14.25" hidden="1" customHeight="1">
      <c r="A956" s="19"/>
      <c r="B956" s="19"/>
      <c r="C956" s="19"/>
      <c r="D956" s="5"/>
      <c r="E956" s="5"/>
      <c r="F956" s="19"/>
      <c r="G956" s="5"/>
      <c r="H956" s="19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</row>
    <row r="957" spans="1:34" ht="14.25" hidden="1" customHeight="1">
      <c r="A957" s="19"/>
      <c r="B957" s="19"/>
      <c r="C957" s="19"/>
      <c r="D957" s="5"/>
      <c r="E957" s="5"/>
      <c r="F957" s="19"/>
      <c r="G957" s="5"/>
      <c r="H957" s="19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</row>
    <row r="958" spans="1:34" ht="14.25" hidden="1" customHeight="1">
      <c r="A958" s="19"/>
      <c r="B958" s="19"/>
      <c r="C958" s="19"/>
      <c r="D958" s="5"/>
      <c r="E958" s="5"/>
      <c r="F958" s="19"/>
      <c r="G958" s="5"/>
      <c r="H958" s="19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</row>
    <row r="959" spans="1:34" ht="14.25" hidden="1" customHeight="1">
      <c r="A959" s="19"/>
      <c r="B959" s="19"/>
      <c r="C959" s="19"/>
      <c r="D959" s="5"/>
      <c r="E959" s="5"/>
      <c r="F959" s="19"/>
      <c r="G959" s="5"/>
      <c r="H959" s="19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</row>
    <row r="960" spans="1:34" ht="14.25" hidden="1" customHeight="1">
      <c r="A960" s="19"/>
      <c r="B960" s="19"/>
      <c r="C960" s="19"/>
      <c r="D960" s="5"/>
      <c r="E960" s="5"/>
      <c r="F960" s="19"/>
      <c r="G960" s="5"/>
      <c r="H960" s="19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</row>
    <row r="961" spans="1:34" ht="14.25" hidden="1" customHeight="1">
      <c r="A961" s="19"/>
      <c r="B961" s="19"/>
      <c r="C961" s="19"/>
      <c r="D961" s="5"/>
      <c r="E961" s="5"/>
      <c r="F961" s="19"/>
      <c r="G961" s="5"/>
      <c r="H961" s="19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</row>
    <row r="962" spans="1:34" ht="14.25" hidden="1" customHeight="1">
      <c r="A962" s="19"/>
      <c r="B962" s="19"/>
      <c r="C962" s="19"/>
      <c r="D962" s="5"/>
      <c r="E962" s="5"/>
      <c r="F962" s="19"/>
      <c r="G962" s="5"/>
      <c r="H962" s="19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</row>
    <row r="963" spans="1:34" ht="14.25" hidden="1" customHeight="1">
      <c r="A963" s="19"/>
      <c r="B963" s="19"/>
      <c r="C963" s="19"/>
      <c r="D963" s="5"/>
      <c r="E963" s="5"/>
      <c r="F963" s="19"/>
      <c r="G963" s="5"/>
      <c r="H963" s="19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</row>
    <row r="964" spans="1:34" ht="14.25" hidden="1" customHeight="1">
      <c r="A964" s="19"/>
      <c r="B964" s="19"/>
      <c r="C964" s="19"/>
      <c r="D964" s="5"/>
      <c r="E964" s="5"/>
      <c r="F964" s="19"/>
      <c r="G964" s="5"/>
      <c r="H964" s="19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</row>
    <row r="965" spans="1:34" ht="14.25" hidden="1" customHeight="1">
      <c r="A965" s="19"/>
      <c r="B965" s="19"/>
      <c r="C965" s="19"/>
      <c r="D965" s="5"/>
      <c r="E965" s="5"/>
      <c r="F965" s="19"/>
      <c r="G965" s="5"/>
      <c r="H965" s="19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</row>
    <row r="966" spans="1:34" ht="14.25" hidden="1" customHeight="1">
      <c r="A966" s="19"/>
      <c r="B966" s="19"/>
      <c r="C966" s="19"/>
      <c r="D966" s="5"/>
      <c r="E966" s="5"/>
      <c r="F966" s="19"/>
      <c r="G966" s="5"/>
      <c r="H966" s="19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</row>
    <row r="967" spans="1:34" ht="14.25" hidden="1" customHeight="1">
      <c r="A967" s="19"/>
      <c r="B967" s="19"/>
      <c r="C967" s="19"/>
      <c r="D967" s="5"/>
      <c r="E967" s="5"/>
      <c r="F967" s="19"/>
      <c r="G967" s="5"/>
      <c r="H967" s="19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</row>
    <row r="968" spans="1:34" ht="14.25" hidden="1" customHeight="1">
      <c r="A968" s="19"/>
      <c r="B968" s="19"/>
      <c r="C968" s="19"/>
      <c r="D968" s="5"/>
      <c r="E968" s="5"/>
      <c r="F968" s="19"/>
      <c r="G968" s="5"/>
      <c r="H968" s="19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</row>
    <row r="969" spans="1:34" ht="14.25" hidden="1" customHeight="1">
      <c r="A969" s="19"/>
      <c r="B969" s="19"/>
      <c r="C969" s="19"/>
      <c r="D969" s="5"/>
      <c r="E969" s="5"/>
      <c r="F969" s="19"/>
      <c r="G969" s="5"/>
      <c r="H969" s="19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</row>
    <row r="970" spans="1:34" ht="14.25" hidden="1" customHeight="1">
      <c r="A970" s="19"/>
      <c r="B970" s="19"/>
      <c r="C970" s="19"/>
      <c r="D970" s="5"/>
      <c r="E970" s="5"/>
      <c r="F970" s="19"/>
      <c r="G970" s="5"/>
      <c r="H970" s="19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</row>
    <row r="971" spans="1:34" ht="14.25" hidden="1" customHeight="1">
      <c r="A971" s="19"/>
      <c r="B971" s="19"/>
      <c r="C971" s="19"/>
      <c r="D971" s="5"/>
      <c r="E971" s="5"/>
      <c r="F971" s="19"/>
      <c r="G971" s="5"/>
      <c r="H971" s="19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</row>
    <row r="972" spans="1:34" ht="14.25" hidden="1" customHeight="1">
      <c r="A972" s="19"/>
      <c r="B972" s="19"/>
      <c r="C972" s="19"/>
      <c r="D972" s="5"/>
      <c r="E972" s="5"/>
      <c r="F972" s="19"/>
      <c r="G972" s="5"/>
      <c r="H972" s="19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</row>
    <row r="973" spans="1:34" ht="14.25" hidden="1" customHeight="1">
      <c r="A973" s="19"/>
      <c r="B973" s="19"/>
      <c r="C973" s="19"/>
      <c r="D973" s="5"/>
      <c r="E973" s="5"/>
      <c r="F973" s="19"/>
      <c r="G973" s="5"/>
      <c r="H973" s="19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</row>
    <row r="974" spans="1:34" ht="14.25" hidden="1" customHeight="1">
      <c r="A974" s="19"/>
      <c r="B974" s="19"/>
      <c r="C974" s="19"/>
      <c r="D974" s="5"/>
      <c r="E974" s="5"/>
      <c r="F974" s="19"/>
      <c r="G974" s="5"/>
      <c r="H974" s="19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</row>
    <row r="975" spans="1:34" ht="14.25" hidden="1" customHeight="1">
      <c r="A975" s="19"/>
      <c r="B975" s="19"/>
      <c r="C975" s="19"/>
      <c r="D975" s="5"/>
      <c r="E975" s="5"/>
      <c r="F975" s="19"/>
      <c r="G975" s="5"/>
      <c r="H975" s="19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</row>
    <row r="976" spans="1:34" ht="14.25" hidden="1" customHeight="1">
      <c r="A976" s="19"/>
      <c r="B976" s="19"/>
      <c r="C976" s="19"/>
      <c r="D976" s="5"/>
      <c r="E976" s="5"/>
      <c r="F976" s="19"/>
      <c r="G976" s="5"/>
      <c r="H976" s="19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</row>
    <row r="977" spans="1:34" ht="14.25" hidden="1" customHeight="1">
      <c r="A977" s="19"/>
      <c r="B977" s="19"/>
      <c r="C977" s="19"/>
      <c r="D977" s="5"/>
      <c r="E977" s="5"/>
      <c r="F977" s="19"/>
      <c r="G977" s="5"/>
      <c r="H977" s="19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</row>
    <row r="978" spans="1:34" ht="14.25" hidden="1" customHeight="1">
      <c r="A978" s="19"/>
      <c r="B978" s="19"/>
      <c r="C978" s="19"/>
      <c r="D978" s="5"/>
      <c r="E978" s="5"/>
      <c r="F978" s="19"/>
      <c r="G978" s="5"/>
      <c r="H978" s="19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</row>
    <row r="979" spans="1:34" ht="14.25" hidden="1" customHeight="1">
      <c r="A979" s="19"/>
      <c r="B979" s="19"/>
      <c r="C979" s="19"/>
      <c r="D979" s="5"/>
      <c r="E979" s="5"/>
      <c r="F979" s="19"/>
      <c r="G979" s="5"/>
      <c r="H979" s="19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</row>
    <row r="980" spans="1:34" ht="14.25" hidden="1" customHeight="1">
      <c r="A980" s="19"/>
      <c r="B980" s="19"/>
      <c r="C980" s="19"/>
      <c r="D980" s="5"/>
      <c r="E980" s="5"/>
      <c r="F980" s="19"/>
      <c r="G980" s="5"/>
      <c r="H980" s="19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</row>
    <row r="981" spans="1:34" ht="14.25" hidden="1" customHeight="1">
      <c r="A981" s="19"/>
      <c r="B981" s="19"/>
      <c r="C981" s="19"/>
      <c r="D981" s="5"/>
      <c r="E981" s="5"/>
      <c r="F981" s="19"/>
      <c r="G981" s="5"/>
      <c r="H981" s="19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</row>
    <row r="982" spans="1:34" ht="14.25" hidden="1" customHeight="1">
      <c r="A982" s="19"/>
      <c r="B982" s="19"/>
      <c r="C982" s="19"/>
      <c r="D982" s="5"/>
      <c r="E982" s="5"/>
      <c r="F982" s="19"/>
      <c r="G982" s="5"/>
      <c r="H982" s="19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</row>
    <row r="983" spans="1:34" ht="14.25" hidden="1" customHeight="1">
      <c r="A983" s="19"/>
      <c r="B983" s="19"/>
      <c r="C983" s="19"/>
      <c r="D983" s="5"/>
      <c r="E983" s="5"/>
      <c r="F983" s="19"/>
      <c r="G983" s="5"/>
      <c r="H983" s="19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</row>
    <row r="984" spans="1:34" ht="14.25" hidden="1" customHeight="1">
      <c r="A984" s="19"/>
      <c r="B984" s="19"/>
      <c r="C984" s="19"/>
      <c r="D984" s="5"/>
      <c r="E984" s="5"/>
      <c r="F984" s="19"/>
      <c r="G984" s="5"/>
      <c r="H984" s="19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</row>
    <row r="985" spans="1:34" ht="14.25" hidden="1" customHeight="1">
      <c r="A985" s="19"/>
      <c r="B985" s="19"/>
      <c r="C985" s="19"/>
      <c r="D985" s="5"/>
      <c r="E985" s="5"/>
      <c r="F985" s="19"/>
      <c r="G985" s="5"/>
      <c r="H985" s="19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</row>
    <row r="986" spans="1:34" ht="14.25" hidden="1" customHeight="1">
      <c r="A986" s="19"/>
      <c r="B986" s="19"/>
      <c r="C986" s="19"/>
      <c r="D986" s="5"/>
      <c r="E986" s="5"/>
      <c r="F986" s="19"/>
      <c r="G986" s="5"/>
      <c r="H986" s="19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</row>
    <row r="987" spans="1:34" ht="14.25" hidden="1" customHeight="1">
      <c r="A987" s="19"/>
      <c r="B987" s="19"/>
      <c r="C987" s="19"/>
      <c r="D987" s="5"/>
      <c r="E987" s="5"/>
      <c r="F987" s="19"/>
      <c r="G987" s="5"/>
      <c r="H987" s="19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</row>
    <row r="988" spans="1:34" ht="14.25" hidden="1" customHeight="1">
      <c r="A988" s="19"/>
      <c r="B988" s="19"/>
      <c r="C988" s="19"/>
      <c r="D988" s="5"/>
      <c r="E988" s="5"/>
      <c r="F988" s="19"/>
      <c r="G988" s="5"/>
      <c r="H988" s="19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</row>
    <row r="989" spans="1:34" ht="14.25" hidden="1" customHeight="1">
      <c r="A989" s="19"/>
      <c r="B989" s="19"/>
      <c r="C989" s="19"/>
      <c r="D989" s="5"/>
      <c r="E989" s="5"/>
      <c r="F989" s="19"/>
      <c r="G989" s="5"/>
      <c r="H989" s="19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</row>
    <row r="990" spans="1:34" ht="14.25" hidden="1" customHeight="1">
      <c r="A990" s="19"/>
      <c r="B990" s="19"/>
      <c r="C990" s="19"/>
      <c r="D990" s="5"/>
      <c r="E990" s="5"/>
      <c r="F990" s="19"/>
      <c r="G990" s="5"/>
      <c r="H990" s="19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</row>
    <row r="991" spans="1:34" ht="14.25" hidden="1" customHeight="1">
      <c r="A991" s="19"/>
      <c r="B991" s="19"/>
      <c r="C991" s="19"/>
      <c r="D991" s="5"/>
      <c r="E991" s="5"/>
      <c r="F991" s="19"/>
      <c r="G991" s="5"/>
      <c r="H991" s="19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</row>
    <row r="992" spans="1:34" ht="14.25" hidden="1" customHeight="1">
      <c r="A992" s="19"/>
      <c r="B992" s="19"/>
      <c r="C992" s="19"/>
      <c r="D992" s="5"/>
      <c r="E992" s="5"/>
      <c r="F992" s="19"/>
      <c r="G992" s="5"/>
      <c r="H992" s="19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</row>
    <row r="993" spans="1:34" ht="14.25" hidden="1" customHeight="1">
      <c r="A993" s="19"/>
      <c r="B993" s="19"/>
      <c r="C993" s="19"/>
      <c r="D993" s="5"/>
      <c r="E993" s="5"/>
      <c r="F993" s="19"/>
      <c r="G993" s="5"/>
      <c r="H993" s="19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</row>
    <row r="994" spans="1:34" ht="14.25" hidden="1" customHeight="1">
      <c r="A994" s="19"/>
      <c r="B994" s="19"/>
      <c r="C994" s="19"/>
      <c r="D994" s="5"/>
      <c r="E994" s="5"/>
      <c r="F994" s="19"/>
      <c r="G994" s="5"/>
      <c r="H994" s="19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</row>
    <row r="995" spans="1:34" ht="14.25" hidden="1" customHeight="1">
      <c r="A995" s="19"/>
      <c r="B995" s="19"/>
      <c r="C995" s="19"/>
      <c r="D995" s="5"/>
      <c r="E995" s="5"/>
      <c r="F995" s="19"/>
      <c r="G995" s="5"/>
      <c r="H995" s="19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</row>
    <row r="996" spans="1:34" ht="14.25" hidden="1" customHeight="1">
      <c r="A996" s="19"/>
      <c r="B996" s="19"/>
      <c r="C996" s="19"/>
      <c r="D996" s="5"/>
      <c r="E996" s="5"/>
      <c r="F996" s="19"/>
      <c r="G996" s="5"/>
      <c r="H996" s="19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</row>
    <row r="997" spans="1:34" ht="14.25" hidden="1" customHeight="1">
      <c r="A997" s="19"/>
      <c r="B997" s="19"/>
      <c r="C997" s="19"/>
      <c r="D997" s="5"/>
      <c r="E997" s="5"/>
      <c r="F997" s="19"/>
      <c r="G997" s="5"/>
      <c r="H997" s="19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</row>
    <row r="998" spans="1:34" ht="14.25" hidden="1" customHeight="1">
      <c r="A998" s="19"/>
      <c r="B998" s="19"/>
      <c r="C998" s="19"/>
      <c r="D998" s="5"/>
      <c r="E998" s="5"/>
      <c r="F998" s="19"/>
      <c r="G998" s="5"/>
      <c r="H998" s="19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</row>
    <row r="999" spans="1:34" ht="14.25" hidden="1" customHeight="1">
      <c r="A999" s="19"/>
      <c r="B999" s="19"/>
      <c r="C999" s="19"/>
      <c r="D999" s="5"/>
      <c r="E999" s="5"/>
      <c r="F999" s="19"/>
      <c r="G999" s="5"/>
      <c r="H999" s="19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</row>
    <row r="1000" spans="1:34" ht="14.25" hidden="1" customHeight="1">
      <c r="A1000" s="19"/>
      <c r="B1000" s="19"/>
      <c r="C1000" s="19"/>
      <c r="D1000" s="5"/>
      <c r="E1000" s="5"/>
      <c r="F1000" s="19"/>
      <c r="G1000" s="5"/>
      <c r="H1000" s="19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</row>
    <row r="1001" spans="1:34" ht="14.25" hidden="1" customHeight="1">
      <c r="A1001" s="19"/>
      <c r="B1001" s="19"/>
      <c r="C1001" s="19"/>
      <c r="D1001" s="5"/>
      <c r="E1001" s="5"/>
      <c r="F1001" s="19"/>
      <c r="G1001" s="5"/>
      <c r="H1001" s="19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</row>
    <row r="1002" spans="1:34" ht="14.25" hidden="1" customHeight="1">
      <c r="A1002" s="19"/>
      <c r="B1002" s="19"/>
      <c r="C1002" s="19"/>
      <c r="D1002" s="5"/>
      <c r="E1002" s="5"/>
      <c r="F1002" s="19"/>
      <c r="G1002" s="5"/>
      <c r="H1002" s="19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</row>
    <row r="1003" spans="1:34" ht="14.25" hidden="1" customHeight="1">
      <c r="A1003" s="19"/>
      <c r="B1003" s="19"/>
      <c r="C1003" s="19"/>
      <c r="D1003" s="5"/>
      <c r="E1003" s="5"/>
      <c r="F1003" s="19"/>
      <c r="G1003" s="5"/>
      <c r="H1003" s="19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</row>
    <row r="1004" spans="1:34" ht="14.25" hidden="1" customHeight="1">
      <c r="A1004" s="19"/>
      <c r="B1004" s="19"/>
      <c r="C1004" s="19"/>
      <c r="D1004" s="5"/>
      <c r="E1004" s="5"/>
      <c r="F1004" s="19"/>
      <c r="G1004" s="5"/>
      <c r="H1004" s="19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</row>
    <row r="1005" spans="1:34" ht="14.25" hidden="1" customHeight="1">
      <c r="A1005" s="19"/>
      <c r="B1005" s="19"/>
      <c r="C1005" s="19"/>
      <c r="D1005" s="5"/>
      <c r="E1005" s="5"/>
      <c r="F1005" s="19"/>
      <c r="G1005" s="5"/>
      <c r="H1005" s="19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</row>
    <row r="1006" spans="1:34" ht="14.25" hidden="1" customHeight="1">
      <c r="A1006" s="19"/>
      <c r="B1006" s="19"/>
      <c r="C1006" s="19"/>
      <c r="D1006" s="5"/>
      <c r="E1006" s="5"/>
      <c r="F1006" s="19"/>
      <c r="G1006" s="5"/>
      <c r="H1006" s="19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</row>
    <row r="1007" spans="1:34" ht="14.25" hidden="1" customHeight="1">
      <c r="A1007" s="19"/>
      <c r="B1007" s="19"/>
      <c r="C1007" s="19"/>
      <c r="D1007" s="5"/>
      <c r="E1007" s="5"/>
      <c r="F1007" s="19"/>
      <c r="G1007" s="5"/>
      <c r="H1007" s="19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</row>
    <row r="1008" spans="1:34" ht="14.25" hidden="1" customHeight="1">
      <c r="A1008" s="19"/>
      <c r="B1008" s="19"/>
      <c r="C1008" s="19"/>
      <c r="D1008" s="5"/>
      <c r="E1008" s="5"/>
      <c r="F1008" s="19"/>
      <c r="G1008" s="5"/>
      <c r="H1008" s="19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</row>
    <row r="1009" spans="1:34" ht="14.25" hidden="1" customHeight="1">
      <c r="A1009" s="19"/>
      <c r="B1009" s="19"/>
      <c r="C1009" s="19"/>
      <c r="D1009" s="5"/>
      <c r="E1009" s="5"/>
      <c r="F1009" s="19"/>
      <c r="G1009" s="5"/>
      <c r="H1009" s="19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</row>
    <row r="1010" spans="1:34" ht="14.25" hidden="1" customHeight="1">
      <c r="A1010" s="19"/>
      <c r="B1010" s="19"/>
      <c r="C1010" s="19"/>
      <c r="D1010" s="5"/>
      <c r="E1010" s="5"/>
      <c r="F1010" s="19"/>
      <c r="G1010" s="5"/>
      <c r="H1010" s="19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</row>
    <row r="1011" spans="1:34" ht="14.25" hidden="1" customHeight="1">
      <c r="A1011" s="19"/>
      <c r="B1011" s="19"/>
      <c r="C1011" s="19"/>
      <c r="D1011" s="5"/>
      <c r="E1011" s="5"/>
      <c r="F1011" s="19"/>
      <c r="G1011" s="5"/>
      <c r="H1011" s="19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</row>
    <row r="1012" spans="1:34" ht="14.25" hidden="1" customHeight="1">
      <c r="A1012" s="19"/>
      <c r="B1012" s="19"/>
      <c r="C1012" s="19"/>
      <c r="D1012" s="5"/>
      <c r="E1012" s="5"/>
      <c r="F1012" s="19"/>
      <c r="G1012" s="5"/>
      <c r="H1012" s="19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</row>
    <row r="1013" spans="1:34" ht="14.25" hidden="1" customHeight="1">
      <c r="A1013" s="19"/>
      <c r="B1013" s="19"/>
      <c r="C1013" s="19"/>
      <c r="D1013" s="5"/>
      <c r="E1013" s="5"/>
      <c r="F1013" s="19"/>
      <c r="G1013" s="5"/>
      <c r="H1013" s="19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</row>
    <row r="1014" spans="1:34" ht="14.25" hidden="1" customHeight="1">
      <c r="A1014" s="19"/>
      <c r="B1014" s="19"/>
      <c r="C1014" s="19"/>
      <c r="D1014" s="5"/>
      <c r="E1014" s="5"/>
      <c r="F1014" s="19"/>
      <c r="G1014" s="5"/>
      <c r="H1014" s="19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</row>
    <row r="1015" spans="1:34" ht="14.25" hidden="1" customHeight="1">
      <c r="A1015" s="19"/>
      <c r="B1015" s="19"/>
      <c r="C1015" s="19"/>
      <c r="D1015" s="5"/>
      <c r="E1015" s="5"/>
      <c r="F1015" s="19"/>
      <c r="G1015" s="5"/>
      <c r="H1015" s="19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</row>
    <row r="1016" spans="1:34" ht="14.25" hidden="1" customHeight="1">
      <c r="A1016" s="19"/>
      <c r="B1016" s="19"/>
      <c r="C1016" s="19"/>
      <c r="D1016" s="5"/>
      <c r="E1016" s="5"/>
      <c r="F1016" s="19"/>
      <c r="G1016" s="5"/>
      <c r="H1016" s="19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</row>
  </sheetData>
  <autoFilter ref="A1:AH1016" xr:uid="{00000000-0009-0000-0000-000000000000}">
    <filterColumn colId="1">
      <filters>
        <filter val="MBAB"/>
      </filters>
    </filterColumn>
  </autoFilter>
  <pageMargins left="0.7" right="0.7" top="0.75" bottom="0.75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BF4F14"/>
  </sheetPr>
  <dimension ref="A1:AS1080"/>
  <sheetViews>
    <sheetView tabSelected="1" workbookViewId="0">
      <pane xSplit="5" topLeftCell="I1" activePane="topRight" state="frozen"/>
      <selection pane="topRight" activeCell="N228" sqref="N228"/>
    </sheetView>
  </sheetViews>
  <sheetFormatPr defaultColWidth="12.6640625" defaultRowHeight="15" customHeight="1"/>
  <cols>
    <col min="1" max="1" width="4.33203125" customWidth="1"/>
    <col min="2" max="3" width="5.88671875" customWidth="1"/>
    <col min="4" max="4" width="8.44140625" customWidth="1"/>
    <col min="5" max="5" width="52.88671875" customWidth="1"/>
    <col min="6" max="6" width="21" customWidth="1"/>
    <col min="7" max="7" width="5.88671875" customWidth="1"/>
    <col min="8" max="8" width="28.33203125" customWidth="1"/>
    <col min="9" max="9" width="17.88671875" customWidth="1"/>
    <col min="10" max="10" width="14.77734375" customWidth="1"/>
    <col min="11" max="11" width="14.33203125" customWidth="1"/>
    <col min="12" max="12" width="4.6640625" customWidth="1"/>
    <col min="13" max="13" width="7.6640625" customWidth="1"/>
    <col min="14" max="14" width="27" customWidth="1"/>
    <col min="15" max="15" width="36" customWidth="1"/>
    <col min="16" max="22" width="4.77734375" customWidth="1"/>
    <col min="23" max="23" width="14.109375" customWidth="1"/>
    <col min="24" max="30" width="6.33203125" customWidth="1"/>
    <col min="31" max="31" width="16" customWidth="1"/>
    <col min="32" max="32" width="47.6640625" customWidth="1"/>
    <col min="33" max="33" width="63.6640625" customWidth="1"/>
    <col min="34" max="45" width="8.6640625" customWidth="1"/>
  </cols>
  <sheetData>
    <row r="1" spans="1:45" ht="14.4">
      <c r="A1" s="1" t="s">
        <v>0</v>
      </c>
      <c r="B1" s="1" t="s">
        <v>1</v>
      </c>
      <c r="C1" s="1" t="s">
        <v>676</v>
      </c>
      <c r="D1" s="1" t="s">
        <v>2</v>
      </c>
      <c r="E1" s="1" t="s">
        <v>3</v>
      </c>
      <c r="F1" s="1" t="s">
        <v>5</v>
      </c>
      <c r="G1" s="1" t="s">
        <v>4</v>
      </c>
      <c r="H1" s="20" t="s">
        <v>73</v>
      </c>
      <c r="I1" s="1" t="s">
        <v>74</v>
      </c>
      <c r="J1" s="1" t="s">
        <v>8</v>
      </c>
      <c r="K1" s="1" t="s">
        <v>75</v>
      </c>
      <c r="L1" s="1" t="s">
        <v>76</v>
      </c>
      <c r="M1" s="1" t="s">
        <v>77</v>
      </c>
      <c r="N1" s="1" t="s">
        <v>9</v>
      </c>
      <c r="O1" s="1" t="s">
        <v>10</v>
      </c>
      <c r="P1" s="1">
        <v>1</v>
      </c>
      <c r="Q1" s="1">
        <v>2</v>
      </c>
      <c r="R1" s="1">
        <v>3</v>
      </c>
      <c r="S1" s="1">
        <v>4</v>
      </c>
      <c r="T1" s="1">
        <v>5</v>
      </c>
      <c r="U1" s="21">
        <v>6</v>
      </c>
      <c r="V1" s="21">
        <v>7</v>
      </c>
      <c r="W1" s="1" t="s">
        <v>78</v>
      </c>
      <c r="X1" s="1">
        <v>9</v>
      </c>
      <c r="Y1" s="1">
        <v>10</v>
      </c>
      <c r="Z1" s="1">
        <v>11</v>
      </c>
      <c r="AA1" s="1">
        <v>12</v>
      </c>
      <c r="AB1" s="1">
        <v>13</v>
      </c>
      <c r="AC1" s="21">
        <v>14</v>
      </c>
      <c r="AD1" s="21">
        <v>15</v>
      </c>
      <c r="AE1" s="1" t="s">
        <v>79</v>
      </c>
      <c r="AF1" s="3"/>
      <c r="AG1" s="3">
        <f>SUM(P1:V1,X1:AE1)</f>
        <v>112</v>
      </c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ht="27.6">
      <c r="A2" s="6">
        <v>1</v>
      </c>
      <c r="B2" s="6" t="s">
        <v>15</v>
      </c>
      <c r="C2" s="6" t="s">
        <v>414</v>
      </c>
      <c r="D2" s="9" t="s">
        <v>80</v>
      </c>
      <c r="E2" s="9" t="s">
        <v>81</v>
      </c>
      <c r="F2" s="9" t="s">
        <v>82</v>
      </c>
      <c r="G2" s="6" t="s">
        <v>83</v>
      </c>
      <c r="H2" s="12" t="str">
        <f t="shared" ref="H2:H13" si="0">D2 &amp; " " &amp;E2</f>
        <v>MM5008 Strategic Decision Making and Negotiation</v>
      </c>
      <c r="I2" s="9" t="s">
        <v>27</v>
      </c>
      <c r="J2" s="9" t="s">
        <v>84</v>
      </c>
      <c r="K2" s="9" t="s">
        <v>85</v>
      </c>
      <c r="L2" s="6">
        <v>3</v>
      </c>
      <c r="M2" s="6">
        <v>4</v>
      </c>
      <c r="N2" s="9" t="s">
        <v>678</v>
      </c>
      <c r="O2" s="12" t="s">
        <v>87</v>
      </c>
      <c r="P2" s="10">
        <v>46202</v>
      </c>
      <c r="Q2" s="10">
        <v>46202</v>
      </c>
      <c r="R2" s="10">
        <v>46209</v>
      </c>
      <c r="S2" s="10">
        <v>46209</v>
      </c>
      <c r="T2" s="10">
        <v>46216</v>
      </c>
      <c r="U2" s="10"/>
      <c r="V2" s="10"/>
      <c r="W2" s="10">
        <v>46216</v>
      </c>
      <c r="X2" s="10">
        <v>46223</v>
      </c>
      <c r="Y2" s="10">
        <v>46223</v>
      </c>
      <c r="Z2" s="10">
        <v>46230</v>
      </c>
      <c r="AA2" s="10">
        <v>46230</v>
      </c>
      <c r="AB2" s="10">
        <v>46237</v>
      </c>
      <c r="AC2" s="10"/>
      <c r="AD2" s="10"/>
      <c r="AE2" s="10">
        <v>46237</v>
      </c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</row>
    <row r="3" spans="1:45" ht="27.6">
      <c r="A3" s="6">
        <v>1</v>
      </c>
      <c r="B3" s="6" t="s">
        <v>15</v>
      </c>
      <c r="C3" s="6" t="s">
        <v>414</v>
      </c>
      <c r="D3" s="9" t="s">
        <v>80</v>
      </c>
      <c r="E3" s="9" t="s">
        <v>81</v>
      </c>
      <c r="F3" s="9" t="s">
        <v>82</v>
      </c>
      <c r="G3" s="6" t="s">
        <v>83</v>
      </c>
      <c r="H3" s="12" t="str">
        <f t="shared" si="0"/>
        <v>MM5008 Strategic Decision Making and Negotiation</v>
      </c>
      <c r="I3" s="9" t="s">
        <v>27</v>
      </c>
      <c r="J3" s="9" t="s">
        <v>84</v>
      </c>
      <c r="K3" s="9" t="s">
        <v>85</v>
      </c>
      <c r="L3" s="6">
        <v>3</v>
      </c>
      <c r="M3" s="6">
        <v>4</v>
      </c>
      <c r="N3" s="9" t="s">
        <v>678</v>
      </c>
      <c r="O3" s="12" t="s">
        <v>88</v>
      </c>
      <c r="P3" s="10">
        <v>46202</v>
      </c>
      <c r="Q3" s="10">
        <v>46202</v>
      </c>
      <c r="R3" s="10">
        <v>46209</v>
      </c>
      <c r="S3" s="10">
        <v>46209</v>
      </c>
      <c r="T3" s="10">
        <v>46216</v>
      </c>
      <c r="U3" s="10"/>
      <c r="V3" s="10"/>
      <c r="W3" s="10">
        <v>46216</v>
      </c>
      <c r="X3" s="10">
        <v>46223</v>
      </c>
      <c r="Y3" s="10">
        <v>46223</v>
      </c>
      <c r="Z3" s="10">
        <v>46230</v>
      </c>
      <c r="AA3" s="10">
        <v>46230</v>
      </c>
      <c r="AB3" s="10">
        <v>46237</v>
      </c>
      <c r="AC3" s="10"/>
      <c r="AD3" s="10"/>
      <c r="AE3" s="10">
        <v>46237</v>
      </c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</row>
    <row r="4" spans="1:45" ht="41.4">
      <c r="A4" s="22">
        <v>2</v>
      </c>
      <c r="B4" s="7" t="s">
        <v>15</v>
      </c>
      <c r="C4" s="6" t="s">
        <v>414</v>
      </c>
      <c r="D4" s="8" t="s">
        <v>43</v>
      </c>
      <c r="E4" s="8" t="s">
        <v>44</v>
      </c>
      <c r="F4" s="9" t="s">
        <v>82</v>
      </c>
      <c r="G4" s="6" t="s">
        <v>45</v>
      </c>
      <c r="H4" s="12" t="str">
        <f t="shared" si="0"/>
        <v>MM5010 Strategic Management and Agile Enterprise</v>
      </c>
      <c r="I4" s="9" t="s">
        <v>27</v>
      </c>
      <c r="J4" s="9" t="s">
        <v>89</v>
      </c>
      <c r="K4" s="9" t="s">
        <v>85</v>
      </c>
      <c r="L4" s="6">
        <v>3</v>
      </c>
      <c r="M4" s="6">
        <v>4</v>
      </c>
      <c r="N4" s="9" t="s">
        <v>678</v>
      </c>
      <c r="O4" s="8"/>
      <c r="P4" s="10">
        <v>46203</v>
      </c>
      <c r="Q4" s="10">
        <v>46203</v>
      </c>
      <c r="R4" s="10">
        <v>46210</v>
      </c>
      <c r="S4" s="10">
        <v>46210</v>
      </c>
      <c r="T4" s="10">
        <v>46217</v>
      </c>
      <c r="U4" s="10"/>
      <c r="V4" s="10"/>
      <c r="W4" s="10">
        <v>46217</v>
      </c>
      <c r="X4" s="10">
        <v>46224</v>
      </c>
      <c r="Y4" s="10">
        <v>46224</v>
      </c>
      <c r="Z4" s="10">
        <v>46231</v>
      </c>
      <c r="AA4" s="10">
        <v>46231</v>
      </c>
      <c r="AB4" s="10">
        <v>46238</v>
      </c>
      <c r="AC4" s="10"/>
      <c r="AD4" s="10"/>
      <c r="AE4" s="10">
        <v>46238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</row>
    <row r="5" spans="1:45" ht="27.6">
      <c r="A5" s="6">
        <v>3</v>
      </c>
      <c r="B5" s="6" t="s">
        <v>15</v>
      </c>
      <c r="C5" s="6" t="s">
        <v>414</v>
      </c>
      <c r="D5" s="9" t="s">
        <v>90</v>
      </c>
      <c r="E5" s="9" t="s">
        <v>91</v>
      </c>
      <c r="F5" s="9" t="s">
        <v>92</v>
      </c>
      <c r="G5" s="6" t="s">
        <v>45</v>
      </c>
      <c r="H5" s="12" t="str">
        <f t="shared" si="0"/>
        <v>MM5001 Marketing Management</v>
      </c>
      <c r="I5" s="9" t="s">
        <v>32</v>
      </c>
      <c r="J5" s="9" t="s">
        <v>84</v>
      </c>
      <c r="K5" s="9" t="s">
        <v>85</v>
      </c>
      <c r="L5" s="6">
        <v>3</v>
      </c>
      <c r="M5" s="6">
        <v>4</v>
      </c>
      <c r="N5" s="9" t="s">
        <v>678</v>
      </c>
      <c r="O5" s="12" t="s">
        <v>93</v>
      </c>
      <c r="P5" s="10">
        <v>46202</v>
      </c>
      <c r="Q5" s="10">
        <v>46202</v>
      </c>
      <c r="R5" s="10">
        <v>46209</v>
      </c>
      <c r="S5" s="10">
        <v>46209</v>
      </c>
      <c r="T5" s="10">
        <v>46216</v>
      </c>
      <c r="U5" s="10"/>
      <c r="V5" s="10"/>
      <c r="W5" s="10">
        <v>46216</v>
      </c>
      <c r="X5" s="10">
        <v>46223</v>
      </c>
      <c r="Y5" s="10">
        <v>46223</v>
      </c>
      <c r="Z5" s="10">
        <v>46230</v>
      </c>
      <c r="AA5" s="10">
        <v>46230</v>
      </c>
      <c r="AB5" s="10">
        <v>46237</v>
      </c>
      <c r="AC5" s="10"/>
      <c r="AD5" s="10"/>
      <c r="AE5" s="10">
        <v>46237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</row>
    <row r="6" spans="1:45" ht="27.6">
      <c r="A6" s="6">
        <v>3</v>
      </c>
      <c r="B6" s="6" t="s">
        <v>15</v>
      </c>
      <c r="C6" s="6" t="s">
        <v>414</v>
      </c>
      <c r="D6" s="9" t="s">
        <v>90</v>
      </c>
      <c r="E6" s="9" t="s">
        <v>91</v>
      </c>
      <c r="F6" s="9" t="s">
        <v>92</v>
      </c>
      <c r="G6" s="6" t="s">
        <v>45</v>
      </c>
      <c r="H6" s="12" t="str">
        <f t="shared" si="0"/>
        <v>MM5001 Marketing Management</v>
      </c>
      <c r="I6" s="9" t="s">
        <v>32</v>
      </c>
      <c r="J6" s="9" t="s">
        <v>84</v>
      </c>
      <c r="K6" s="9" t="s">
        <v>85</v>
      </c>
      <c r="L6" s="6">
        <v>3</v>
      </c>
      <c r="M6" s="6">
        <v>4</v>
      </c>
      <c r="N6" s="9" t="s">
        <v>678</v>
      </c>
      <c r="O6" s="12" t="s">
        <v>94</v>
      </c>
      <c r="P6" s="10">
        <v>46202</v>
      </c>
      <c r="Q6" s="10">
        <v>46202</v>
      </c>
      <c r="R6" s="10">
        <v>46209</v>
      </c>
      <c r="S6" s="10">
        <v>46209</v>
      </c>
      <c r="T6" s="10">
        <v>46216</v>
      </c>
      <c r="U6" s="10"/>
      <c r="V6" s="10"/>
      <c r="W6" s="10">
        <v>46216</v>
      </c>
      <c r="X6" s="10">
        <v>46223</v>
      </c>
      <c r="Y6" s="10">
        <v>46223</v>
      </c>
      <c r="Z6" s="10">
        <v>46230</v>
      </c>
      <c r="AA6" s="10">
        <v>46230</v>
      </c>
      <c r="AB6" s="10">
        <v>46237</v>
      </c>
      <c r="AC6" s="10"/>
      <c r="AD6" s="10"/>
      <c r="AE6" s="10">
        <v>46237</v>
      </c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</row>
    <row r="7" spans="1:45" ht="27.6">
      <c r="A7" s="22">
        <v>4</v>
      </c>
      <c r="B7" s="7" t="s">
        <v>15</v>
      </c>
      <c r="C7" s="6" t="s">
        <v>414</v>
      </c>
      <c r="D7" s="8" t="s">
        <v>95</v>
      </c>
      <c r="E7" s="8" t="s">
        <v>96</v>
      </c>
      <c r="F7" s="9" t="s">
        <v>92</v>
      </c>
      <c r="G7" s="6" t="s">
        <v>18</v>
      </c>
      <c r="H7" s="12" t="str">
        <f t="shared" si="0"/>
        <v xml:space="preserve">MM5006 Entrepreneurial Economics </v>
      </c>
      <c r="I7" s="9" t="s">
        <v>32</v>
      </c>
      <c r="J7" s="9" t="s">
        <v>97</v>
      </c>
      <c r="K7" s="9" t="s">
        <v>85</v>
      </c>
      <c r="L7" s="6">
        <v>3</v>
      </c>
      <c r="M7" s="6">
        <v>4</v>
      </c>
      <c r="N7" s="9" t="s">
        <v>678</v>
      </c>
      <c r="O7" s="8"/>
      <c r="P7" s="10">
        <v>46204</v>
      </c>
      <c r="Q7" s="10">
        <v>46204</v>
      </c>
      <c r="R7" s="10">
        <v>46211</v>
      </c>
      <c r="S7" s="10">
        <v>46211</v>
      </c>
      <c r="T7" s="10">
        <v>46218</v>
      </c>
      <c r="U7" s="10"/>
      <c r="V7" s="10"/>
      <c r="W7" s="10">
        <v>46218</v>
      </c>
      <c r="X7" s="10">
        <v>46225</v>
      </c>
      <c r="Y7" s="10">
        <v>46225</v>
      </c>
      <c r="Z7" s="10">
        <v>46232</v>
      </c>
      <c r="AA7" s="10">
        <v>46232</v>
      </c>
      <c r="AB7" s="10">
        <v>46239</v>
      </c>
      <c r="AC7" s="10"/>
      <c r="AD7" s="10"/>
      <c r="AE7" s="10">
        <v>46239</v>
      </c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</row>
    <row r="8" spans="1:45" ht="27.6">
      <c r="A8" s="6">
        <v>5</v>
      </c>
      <c r="B8" s="7" t="s">
        <v>15</v>
      </c>
      <c r="C8" s="6" t="s">
        <v>414</v>
      </c>
      <c r="D8" s="8" t="s">
        <v>35</v>
      </c>
      <c r="E8" s="8" t="s">
        <v>36</v>
      </c>
      <c r="F8" s="9" t="s">
        <v>92</v>
      </c>
      <c r="G8" s="6" t="s">
        <v>18</v>
      </c>
      <c r="H8" s="12" t="str">
        <f t="shared" si="0"/>
        <v>MM5007 Financial Management and Policy</v>
      </c>
      <c r="I8" s="9" t="s">
        <v>32</v>
      </c>
      <c r="J8" s="9" t="s">
        <v>89</v>
      </c>
      <c r="K8" s="9" t="s">
        <v>85</v>
      </c>
      <c r="L8" s="6">
        <v>3</v>
      </c>
      <c r="M8" s="6">
        <v>4</v>
      </c>
      <c r="N8" s="9" t="s">
        <v>678</v>
      </c>
      <c r="O8" s="8"/>
      <c r="P8" s="10">
        <v>46203</v>
      </c>
      <c r="Q8" s="10">
        <v>46203</v>
      </c>
      <c r="R8" s="10">
        <v>46210</v>
      </c>
      <c r="S8" s="10">
        <v>46210</v>
      </c>
      <c r="T8" s="10">
        <v>46217</v>
      </c>
      <c r="U8" s="10"/>
      <c r="V8" s="10"/>
      <c r="W8" s="10">
        <v>46217</v>
      </c>
      <c r="X8" s="10">
        <v>46224</v>
      </c>
      <c r="Y8" s="10">
        <v>46224</v>
      </c>
      <c r="Z8" s="10">
        <v>46231</v>
      </c>
      <c r="AA8" s="10">
        <v>46231</v>
      </c>
      <c r="AB8" s="10">
        <v>46238</v>
      </c>
      <c r="AC8" s="10"/>
      <c r="AD8" s="10"/>
      <c r="AE8" s="10">
        <v>46238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</row>
    <row r="9" spans="1:45" ht="41.4">
      <c r="A9" s="22">
        <v>6</v>
      </c>
      <c r="B9" s="6" t="s">
        <v>15</v>
      </c>
      <c r="C9" s="6" t="s">
        <v>414</v>
      </c>
      <c r="D9" s="9" t="s">
        <v>43</v>
      </c>
      <c r="E9" s="9" t="s">
        <v>44</v>
      </c>
      <c r="F9" s="9" t="s">
        <v>98</v>
      </c>
      <c r="G9" s="6" t="s">
        <v>45</v>
      </c>
      <c r="H9" s="12" t="str">
        <f t="shared" si="0"/>
        <v>MM5010 Strategic Management and Agile Enterprise</v>
      </c>
      <c r="I9" s="9" t="s">
        <v>47</v>
      </c>
      <c r="J9" s="9" t="s">
        <v>84</v>
      </c>
      <c r="K9" s="9" t="s">
        <v>85</v>
      </c>
      <c r="L9" s="6">
        <v>3</v>
      </c>
      <c r="M9" s="6">
        <v>4</v>
      </c>
      <c r="N9" s="9" t="s">
        <v>678</v>
      </c>
      <c r="O9" s="12" t="s">
        <v>99</v>
      </c>
      <c r="P9" s="10">
        <v>46202</v>
      </c>
      <c r="Q9" s="10">
        <v>46202</v>
      </c>
      <c r="R9" s="10">
        <v>46209</v>
      </c>
      <c r="S9" s="10">
        <v>46209</v>
      </c>
      <c r="T9" s="10">
        <v>46216</v>
      </c>
      <c r="U9" s="10"/>
      <c r="V9" s="10"/>
      <c r="W9" s="10">
        <v>46216</v>
      </c>
      <c r="X9" s="10">
        <v>46223</v>
      </c>
      <c r="Y9" s="10">
        <v>46223</v>
      </c>
      <c r="Z9" s="10">
        <v>46230</v>
      </c>
      <c r="AA9" s="10">
        <v>46230</v>
      </c>
      <c r="AB9" s="10">
        <v>46237</v>
      </c>
      <c r="AC9" s="10"/>
      <c r="AD9" s="10"/>
      <c r="AE9" s="10">
        <v>46237</v>
      </c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</row>
    <row r="10" spans="1:45" ht="41.4">
      <c r="A10" s="22">
        <v>6</v>
      </c>
      <c r="B10" s="6" t="s">
        <v>15</v>
      </c>
      <c r="C10" s="6" t="s">
        <v>414</v>
      </c>
      <c r="D10" s="9" t="s">
        <v>43</v>
      </c>
      <c r="E10" s="9" t="s">
        <v>44</v>
      </c>
      <c r="F10" s="9" t="s">
        <v>98</v>
      </c>
      <c r="G10" s="6" t="s">
        <v>45</v>
      </c>
      <c r="H10" s="12" t="str">
        <f t="shared" si="0"/>
        <v>MM5010 Strategic Management and Agile Enterprise</v>
      </c>
      <c r="I10" s="9" t="s">
        <v>47</v>
      </c>
      <c r="J10" s="9" t="s">
        <v>84</v>
      </c>
      <c r="K10" s="9" t="s">
        <v>85</v>
      </c>
      <c r="L10" s="6">
        <v>3</v>
      </c>
      <c r="M10" s="6">
        <v>4</v>
      </c>
      <c r="N10" s="9" t="s">
        <v>678</v>
      </c>
      <c r="O10" s="12" t="s">
        <v>100</v>
      </c>
      <c r="P10" s="10">
        <v>46202</v>
      </c>
      <c r="Q10" s="10">
        <v>46202</v>
      </c>
      <c r="R10" s="10">
        <v>46209</v>
      </c>
      <c r="S10" s="10">
        <v>46209</v>
      </c>
      <c r="T10" s="10">
        <v>46216</v>
      </c>
      <c r="U10" s="10"/>
      <c r="V10" s="10"/>
      <c r="W10" s="10">
        <v>46216</v>
      </c>
      <c r="X10" s="10">
        <v>46223</v>
      </c>
      <c r="Y10" s="10">
        <v>46223</v>
      </c>
      <c r="Z10" s="10">
        <v>46230</v>
      </c>
      <c r="AA10" s="10">
        <v>46230</v>
      </c>
      <c r="AB10" s="10">
        <v>46237</v>
      </c>
      <c r="AC10" s="10"/>
      <c r="AD10" s="10"/>
      <c r="AE10" s="10">
        <v>46237</v>
      </c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</row>
    <row r="11" spans="1:45" ht="41.4">
      <c r="A11" s="22">
        <v>6</v>
      </c>
      <c r="B11" s="6" t="s">
        <v>15</v>
      </c>
      <c r="C11" s="6" t="s">
        <v>414</v>
      </c>
      <c r="D11" s="9" t="s">
        <v>43</v>
      </c>
      <c r="E11" s="9" t="s">
        <v>44</v>
      </c>
      <c r="F11" s="9" t="s">
        <v>98</v>
      </c>
      <c r="G11" s="6" t="s">
        <v>45</v>
      </c>
      <c r="H11" s="12" t="str">
        <f t="shared" si="0"/>
        <v>MM5010 Strategic Management and Agile Enterprise</v>
      </c>
      <c r="I11" s="9" t="s">
        <v>47</v>
      </c>
      <c r="J11" s="9" t="s">
        <v>84</v>
      </c>
      <c r="K11" s="9" t="s">
        <v>85</v>
      </c>
      <c r="L11" s="6">
        <v>3</v>
      </c>
      <c r="M11" s="6">
        <v>4</v>
      </c>
      <c r="N11" s="9" t="s">
        <v>678</v>
      </c>
      <c r="O11" s="12" t="s">
        <v>101</v>
      </c>
      <c r="P11" s="10">
        <v>46202</v>
      </c>
      <c r="Q11" s="10">
        <v>46202</v>
      </c>
      <c r="R11" s="10">
        <v>46209</v>
      </c>
      <c r="S11" s="10">
        <v>46209</v>
      </c>
      <c r="T11" s="10">
        <v>46216</v>
      </c>
      <c r="U11" s="10"/>
      <c r="V11" s="10"/>
      <c r="W11" s="10">
        <v>46216</v>
      </c>
      <c r="X11" s="10">
        <v>46223</v>
      </c>
      <c r="Y11" s="10">
        <v>46223</v>
      </c>
      <c r="Z11" s="10">
        <v>46230</v>
      </c>
      <c r="AA11" s="10">
        <v>46230</v>
      </c>
      <c r="AB11" s="10">
        <v>46237</v>
      </c>
      <c r="AC11" s="10"/>
      <c r="AD11" s="10"/>
      <c r="AE11" s="10">
        <v>46237</v>
      </c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</row>
    <row r="12" spans="1:45" ht="41.4">
      <c r="A12" s="6">
        <v>7</v>
      </c>
      <c r="B12" s="6" t="s">
        <v>15</v>
      </c>
      <c r="C12" s="6" t="s">
        <v>414</v>
      </c>
      <c r="D12" s="9" t="s">
        <v>49</v>
      </c>
      <c r="E12" s="9" t="s">
        <v>50</v>
      </c>
      <c r="F12" s="9" t="s">
        <v>98</v>
      </c>
      <c r="G12" s="6" t="s">
        <v>51</v>
      </c>
      <c r="H12" s="12" t="str">
        <f t="shared" si="0"/>
        <v>MM5011 Management of Innovation, Technology and Entrepreneurship</v>
      </c>
      <c r="I12" s="9" t="s">
        <v>47</v>
      </c>
      <c r="J12" s="9" t="s">
        <v>89</v>
      </c>
      <c r="K12" s="9" t="s">
        <v>85</v>
      </c>
      <c r="L12" s="6">
        <v>3</v>
      </c>
      <c r="M12" s="6">
        <v>4</v>
      </c>
      <c r="N12" s="9" t="s">
        <v>678</v>
      </c>
      <c r="O12" s="12" t="s">
        <v>102</v>
      </c>
      <c r="P12" s="10">
        <v>46203</v>
      </c>
      <c r="Q12" s="10">
        <v>46203</v>
      </c>
      <c r="R12" s="10">
        <v>46210</v>
      </c>
      <c r="S12" s="10">
        <v>46210</v>
      </c>
      <c r="T12" s="10">
        <v>46217</v>
      </c>
      <c r="U12" s="10"/>
      <c r="V12" s="10"/>
      <c r="W12" s="10">
        <v>46217</v>
      </c>
      <c r="X12" s="10">
        <v>46224</v>
      </c>
      <c r="Y12" s="10">
        <v>46224</v>
      </c>
      <c r="Z12" s="10">
        <v>46231</v>
      </c>
      <c r="AA12" s="10">
        <v>46231</v>
      </c>
      <c r="AB12" s="10">
        <v>46238</v>
      </c>
      <c r="AC12" s="10"/>
      <c r="AD12" s="10"/>
      <c r="AE12" s="10">
        <v>46238</v>
      </c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</row>
    <row r="13" spans="1:45" ht="41.4">
      <c r="A13" s="6">
        <v>7</v>
      </c>
      <c r="B13" s="6" t="s">
        <v>15</v>
      </c>
      <c r="C13" s="6" t="s">
        <v>414</v>
      </c>
      <c r="D13" s="9" t="s">
        <v>49</v>
      </c>
      <c r="E13" s="9" t="s">
        <v>50</v>
      </c>
      <c r="F13" s="9" t="s">
        <v>98</v>
      </c>
      <c r="G13" s="6" t="s">
        <v>51</v>
      </c>
      <c r="H13" s="12" t="str">
        <f t="shared" si="0"/>
        <v>MM5011 Management of Innovation, Technology and Entrepreneurship</v>
      </c>
      <c r="I13" s="9" t="s">
        <v>47</v>
      </c>
      <c r="J13" s="9" t="s">
        <v>89</v>
      </c>
      <c r="K13" s="9" t="s">
        <v>85</v>
      </c>
      <c r="L13" s="6">
        <v>3</v>
      </c>
      <c r="M13" s="6">
        <v>4</v>
      </c>
      <c r="N13" s="9" t="s">
        <v>678</v>
      </c>
      <c r="O13" s="12" t="s">
        <v>103</v>
      </c>
      <c r="P13" s="10">
        <v>46203</v>
      </c>
      <c r="Q13" s="10">
        <v>46203</v>
      </c>
      <c r="R13" s="10">
        <v>46210</v>
      </c>
      <c r="S13" s="10">
        <v>46210</v>
      </c>
      <c r="T13" s="10">
        <v>46217</v>
      </c>
      <c r="U13" s="10"/>
      <c r="V13" s="10"/>
      <c r="W13" s="10">
        <v>46217</v>
      </c>
      <c r="X13" s="10">
        <v>46224</v>
      </c>
      <c r="Y13" s="10">
        <v>46224</v>
      </c>
      <c r="Z13" s="10">
        <v>46231</v>
      </c>
      <c r="AA13" s="10">
        <v>46231</v>
      </c>
      <c r="AB13" s="10">
        <v>46238</v>
      </c>
      <c r="AC13" s="10"/>
      <c r="AD13" s="10"/>
      <c r="AE13" s="10">
        <v>46238</v>
      </c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</row>
    <row r="14" spans="1:45" ht="14.4" hidden="1">
      <c r="A14" s="23"/>
      <c r="B14" s="23" t="s">
        <v>15</v>
      </c>
      <c r="C14" s="6" t="s">
        <v>414</v>
      </c>
      <c r="D14" s="24" t="s">
        <v>54</v>
      </c>
      <c r="E14" s="24" t="s">
        <v>55</v>
      </c>
      <c r="F14" s="24" t="s">
        <v>98</v>
      </c>
      <c r="G14" s="23"/>
      <c r="H14" s="24"/>
      <c r="I14" s="24"/>
      <c r="J14" s="24"/>
      <c r="K14" s="24"/>
      <c r="L14" s="23">
        <v>3</v>
      </c>
      <c r="M14" s="23"/>
      <c r="N14" s="24"/>
      <c r="O14" s="24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</row>
    <row r="15" spans="1:45" ht="14.4" hidden="1">
      <c r="A15" s="23"/>
      <c r="B15" s="23" t="s">
        <v>15</v>
      </c>
      <c r="C15" s="6" t="s">
        <v>414</v>
      </c>
      <c r="D15" s="24" t="s">
        <v>54</v>
      </c>
      <c r="E15" s="24" t="s">
        <v>55</v>
      </c>
      <c r="F15" s="24" t="s">
        <v>98</v>
      </c>
      <c r="G15" s="23"/>
      <c r="H15" s="24"/>
      <c r="I15" s="24"/>
      <c r="J15" s="24"/>
      <c r="K15" s="24"/>
      <c r="L15" s="23">
        <v>3</v>
      </c>
      <c r="M15" s="23"/>
      <c r="N15" s="24"/>
      <c r="O15" s="24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5" t="s">
        <v>56</v>
      </c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</row>
    <row r="16" spans="1:45" ht="27.6">
      <c r="A16" s="22">
        <v>8</v>
      </c>
      <c r="B16" s="6" t="s">
        <v>15</v>
      </c>
      <c r="C16" s="6" t="s">
        <v>414</v>
      </c>
      <c r="D16" s="9" t="s">
        <v>16</v>
      </c>
      <c r="E16" s="9" t="s">
        <v>17</v>
      </c>
      <c r="F16" s="9" t="s">
        <v>104</v>
      </c>
      <c r="G16" s="6" t="s">
        <v>18</v>
      </c>
      <c r="H16" s="12" t="str">
        <f t="shared" ref="H16:H38" si="1">D16 &amp; " " &amp;E16</f>
        <v>MM5005 Economic and Business Landscape Analysis</v>
      </c>
      <c r="I16" s="9" t="s">
        <v>20</v>
      </c>
      <c r="J16" s="9" t="s">
        <v>84</v>
      </c>
      <c r="K16" s="9" t="s">
        <v>85</v>
      </c>
      <c r="L16" s="6">
        <v>3</v>
      </c>
      <c r="M16" s="6">
        <v>4</v>
      </c>
      <c r="N16" s="9" t="s">
        <v>678</v>
      </c>
      <c r="O16" s="12" t="s">
        <v>105</v>
      </c>
      <c r="P16" s="10">
        <v>46202</v>
      </c>
      <c r="Q16" s="10">
        <v>46202</v>
      </c>
      <c r="R16" s="10">
        <v>46209</v>
      </c>
      <c r="S16" s="10">
        <v>46209</v>
      </c>
      <c r="T16" s="10">
        <v>46216</v>
      </c>
      <c r="U16" s="10"/>
      <c r="V16" s="10"/>
      <c r="W16" s="10">
        <v>46216</v>
      </c>
      <c r="X16" s="10">
        <v>46223</v>
      </c>
      <c r="Y16" s="10">
        <v>46223</v>
      </c>
      <c r="Z16" s="10">
        <v>46230</v>
      </c>
      <c r="AA16" s="10">
        <v>46230</v>
      </c>
      <c r="AB16" s="10">
        <v>46237</v>
      </c>
      <c r="AC16" s="10"/>
      <c r="AD16" s="10"/>
      <c r="AE16" s="10">
        <v>46237</v>
      </c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</row>
    <row r="17" spans="1:45" ht="27.6">
      <c r="A17" s="22">
        <v>8</v>
      </c>
      <c r="B17" s="6" t="s">
        <v>15</v>
      </c>
      <c r="C17" s="6" t="s">
        <v>414</v>
      </c>
      <c r="D17" s="9" t="s">
        <v>16</v>
      </c>
      <c r="E17" s="9" t="s">
        <v>17</v>
      </c>
      <c r="F17" s="9" t="s">
        <v>104</v>
      </c>
      <c r="G17" s="6" t="s">
        <v>18</v>
      </c>
      <c r="H17" s="12" t="str">
        <f t="shared" si="1"/>
        <v>MM5005 Economic and Business Landscape Analysis</v>
      </c>
      <c r="I17" s="9" t="s">
        <v>20</v>
      </c>
      <c r="J17" s="9" t="s">
        <v>84</v>
      </c>
      <c r="K17" s="9" t="s">
        <v>85</v>
      </c>
      <c r="L17" s="6">
        <v>3</v>
      </c>
      <c r="M17" s="6">
        <v>4</v>
      </c>
      <c r="N17" s="9" t="s">
        <v>678</v>
      </c>
      <c r="O17" s="12" t="s">
        <v>106</v>
      </c>
      <c r="P17" s="10">
        <v>46202</v>
      </c>
      <c r="Q17" s="10">
        <v>46202</v>
      </c>
      <c r="R17" s="10">
        <v>46209</v>
      </c>
      <c r="S17" s="10">
        <v>46209</v>
      </c>
      <c r="T17" s="10">
        <v>46216</v>
      </c>
      <c r="U17" s="10"/>
      <c r="V17" s="10"/>
      <c r="W17" s="10">
        <v>46216</v>
      </c>
      <c r="X17" s="10">
        <v>46223</v>
      </c>
      <c r="Y17" s="10">
        <v>46223</v>
      </c>
      <c r="Z17" s="10">
        <v>46230</v>
      </c>
      <c r="AA17" s="10">
        <v>46230</v>
      </c>
      <c r="AB17" s="10">
        <v>46237</v>
      </c>
      <c r="AC17" s="10"/>
      <c r="AD17" s="10"/>
      <c r="AE17" s="10">
        <v>46237</v>
      </c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</row>
    <row r="18" spans="1:45" ht="27.6">
      <c r="A18" s="6">
        <v>9</v>
      </c>
      <c r="B18" s="6" t="s">
        <v>15</v>
      </c>
      <c r="C18" s="6" t="s">
        <v>414</v>
      </c>
      <c r="D18" s="9" t="s">
        <v>35</v>
      </c>
      <c r="E18" s="9" t="s">
        <v>36</v>
      </c>
      <c r="F18" s="9" t="s">
        <v>104</v>
      </c>
      <c r="G18" s="6" t="s">
        <v>18</v>
      </c>
      <c r="H18" s="12" t="str">
        <f t="shared" si="1"/>
        <v>MM5007 Financial Management and Policy</v>
      </c>
      <c r="I18" s="9" t="s">
        <v>20</v>
      </c>
      <c r="J18" s="9" t="s">
        <v>89</v>
      </c>
      <c r="K18" s="9" t="s">
        <v>85</v>
      </c>
      <c r="L18" s="6">
        <v>3</v>
      </c>
      <c r="M18" s="6">
        <v>4</v>
      </c>
      <c r="N18" s="9" t="s">
        <v>678</v>
      </c>
      <c r="O18" s="12" t="s">
        <v>38</v>
      </c>
      <c r="P18" s="10">
        <v>46203</v>
      </c>
      <c r="Q18" s="10">
        <v>46203</v>
      </c>
      <c r="R18" s="10">
        <v>46210</v>
      </c>
      <c r="S18" s="10">
        <v>46210</v>
      </c>
      <c r="T18" s="10">
        <v>46217</v>
      </c>
      <c r="U18" s="10"/>
      <c r="V18" s="10"/>
      <c r="W18" s="10">
        <v>46217</v>
      </c>
      <c r="X18" s="10">
        <v>46224</v>
      </c>
      <c r="Y18" s="10">
        <v>46224</v>
      </c>
      <c r="Z18" s="10">
        <v>46231</v>
      </c>
      <c r="AA18" s="10">
        <v>46231</v>
      </c>
      <c r="AB18" s="10">
        <v>46238</v>
      </c>
      <c r="AC18" s="10"/>
      <c r="AD18" s="10"/>
      <c r="AE18" s="10">
        <v>46238</v>
      </c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</row>
    <row r="19" spans="1:45" ht="27.6">
      <c r="A19" s="6">
        <v>9</v>
      </c>
      <c r="B19" s="6" t="s">
        <v>15</v>
      </c>
      <c r="C19" s="6" t="s">
        <v>414</v>
      </c>
      <c r="D19" s="9" t="s">
        <v>35</v>
      </c>
      <c r="E19" s="9" t="s">
        <v>36</v>
      </c>
      <c r="F19" s="9" t="s">
        <v>104</v>
      </c>
      <c r="G19" s="6" t="s">
        <v>18</v>
      </c>
      <c r="H19" s="12" t="str">
        <f t="shared" si="1"/>
        <v>MM5007 Financial Management and Policy</v>
      </c>
      <c r="I19" s="9" t="s">
        <v>20</v>
      </c>
      <c r="J19" s="9" t="s">
        <v>89</v>
      </c>
      <c r="K19" s="9" t="s">
        <v>85</v>
      </c>
      <c r="L19" s="6">
        <v>3</v>
      </c>
      <c r="M19" s="6">
        <v>4</v>
      </c>
      <c r="N19" s="9" t="s">
        <v>678</v>
      </c>
      <c r="O19" s="12" t="s">
        <v>42</v>
      </c>
      <c r="P19" s="10">
        <v>46203</v>
      </c>
      <c r="Q19" s="10">
        <v>46203</v>
      </c>
      <c r="R19" s="10">
        <v>46210</v>
      </c>
      <c r="S19" s="10">
        <v>46210</v>
      </c>
      <c r="T19" s="10">
        <v>46217</v>
      </c>
      <c r="U19" s="10"/>
      <c r="V19" s="10"/>
      <c r="W19" s="10">
        <v>46217</v>
      </c>
      <c r="X19" s="10">
        <v>46224</v>
      </c>
      <c r="Y19" s="10">
        <v>46224</v>
      </c>
      <c r="Z19" s="10">
        <v>46231</v>
      </c>
      <c r="AA19" s="10">
        <v>46231</v>
      </c>
      <c r="AB19" s="10">
        <v>46238</v>
      </c>
      <c r="AC19" s="10"/>
      <c r="AD19" s="10"/>
      <c r="AE19" s="10">
        <v>46238</v>
      </c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</row>
    <row r="20" spans="1:45" ht="41.4">
      <c r="A20" s="22">
        <v>10</v>
      </c>
      <c r="B20" s="7" t="s">
        <v>15</v>
      </c>
      <c r="C20" s="6" t="s">
        <v>414</v>
      </c>
      <c r="D20" s="8" t="s">
        <v>49</v>
      </c>
      <c r="E20" s="8" t="s">
        <v>50</v>
      </c>
      <c r="F20" s="9" t="s">
        <v>104</v>
      </c>
      <c r="G20" s="6" t="s">
        <v>51</v>
      </c>
      <c r="H20" s="12" t="str">
        <f t="shared" si="1"/>
        <v>MM5011 Management of Innovation, Technology and Entrepreneurship</v>
      </c>
      <c r="I20" s="9" t="s">
        <v>20</v>
      </c>
      <c r="J20" s="9" t="s">
        <v>97</v>
      </c>
      <c r="K20" s="9" t="s">
        <v>85</v>
      </c>
      <c r="L20" s="6">
        <v>3</v>
      </c>
      <c r="M20" s="6">
        <v>4</v>
      </c>
      <c r="N20" s="9" t="s">
        <v>678</v>
      </c>
      <c r="O20" s="8"/>
      <c r="P20" s="10">
        <v>46204</v>
      </c>
      <c r="Q20" s="10">
        <v>46204</v>
      </c>
      <c r="R20" s="10">
        <v>46211</v>
      </c>
      <c r="S20" s="10">
        <v>46211</v>
      </c>
      <c r="T20" s="10">
        <v>46218</v>
      </c>
      <c r="U20" s="10"/>
      <c r="V20" s="10"/>
      <c r="W20" s="10">
        <v>46218</v>
      </c>
      <c r="X20" s="10">
        <v>46225</v>
      </c>
      <c r="Y20" s="10">
        <v>46225</v>
      </c>
      <c r="Z20" s="10">
        <v>46232</v>
      </c>
      <c r="AA20" s="10">
        <v>46232</v>
      </c>
      <c r="AB20" s="10">
        <v>46239</v>
      </c>
      <c r="AC20" s="10"/>
      <c r="AD20" s="10"/>
      <c r="AE20" s="10">
        <v>46239</v>
      </c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</row>
    <row r="21" spans="1:45" ht="41.4">
      <c r="A21" s="6">
        <v>11</v>
      </c>
      <c r="B21" s="7" t="s">
        <v>15</v>
      </c>
      <c r="C21" s="6" t="s">
        <v>414</v>
      </c>
      <c r="D21" s="8" t="s">
        <v>49</v>
      </c>
      <c r="E21" s="8" t="s">
        <v>50</v>
      </c>
      <c r="F21" s="9" t="s">
        <v>82</v>
      </c>
      <c r="G21" s="6" t="s">
        <v>51</v>
      </c>
      <c r="H21" s="12" t="str">
        <f t="shared" si="1"/>
        <v>MM5011 Management of Innovation, Technology and Entrepreneurship</v>
      </c>
      <c r="I21" s="9" t="s">
        <v>27</v>
      </c>
      <c r="J21" s="9" t="s">
        <v>97</v>
      </c>
      <c r="K21" s="9" t="s">
        <v>85</v>
      </c>
      <c r="L21" s="6">
        <v>3</v>
      </c>
      <c r="M21" s="6">
        <v>4</v>
      </c>
      <c r="N21" s="9" t="s">
        <v>678</v>
      </c>
      <c r="O21" s="8"/>
      <c r="P21" s="10">
        <v>46204</v>
      </c>
      <c r="Q21" s="10">
        <v>46204</v>
      </c>
      <c r="R21" s="10">
        <v>46211</v>
      </c>
      <c r="S21" s="10">
        <v>46211</v>
      </c>
      <c r="T21" s="10">
        <v>46218</v>
      </c>
      <c r="U21" s="10"/>
      <c r="V21" s="10"/>
      <c r="W21" s="10">
        <v>46218</v>
      </c>
      <c r="X21" s="10">
        <v>46225</v>
      </c>
      <c r="Y21" s="10">
        <v>46225</v>
      </c>
      <c r="Z21" s="10">
        <v>46232</v>
      </c>
      <c r="AA21" s="10">
        <v>46232</v>
      </c>
      <c r="AB21" s="10">
        <v>46239</v>
      </c>
      <c r="AC21" s="10"/>
      <c r="AD21" s="10"/>
      <c r="AE21" s="10">
        <v>46239</v>
      </c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</row>
    <row r="22" spans="1:45" ht="27.6" hidden="1">
      <c r="A22" s="22">
        <v>12</v>
      </c>
      <c r="B22" s="6" t="s">
        <v>58</v>
      </c>
      <c r="C22" s="6" t="s">
        <v>677</v>
      </c>
      <c r="D22" s="9" t="s">
        <v>80</v>
      </c>
      <c r="E22" s="9" t="s">
        <v>81</v>
      </c>
      <c r="F22" s="9" t="s">
        <v>107</v>
      </c>
      <c r="G22" s="6" t="s">
        <v>83</v>
      </c>
      <c r="H22" s="12" t="str">
        <f t="shared" si="1"/>
        <v>MM5008 Strategic Decision Making and Negotiation</v>
      </c>
      <c r="I22" s="9" t="s">
        <v>60</v>
      </c>
      <c r="J22" s="9" t="s">
        <v>108</v>
      </c>
      <c r="K22" s="9" t="s">
        <v>109</v>
      </c>
      <c r="L22" s="6">
        <v>3</v>
      </c>
      <c r="M22" s="6">
        <v>4</v>
      </c>
      <c r="N22" s="9" t="s">
        <v>110</v>
      </c>
      <c r="O22" s="9" t="s">
        <v>111</v>
      </c>
      <c r="P22" s="10">
        <v>46202</v>
      </c>
      <c r="Q22" s="10">
        <v>46204</v>
      </c>
      <c r="R22" s="10">
        <v>46209</v>
      </c>
      <c r="S22" s="10">
        <v>46211</v>
      </c>
      <c r="T22" s="10">
        <v>46216</v>
      </c>
      <c r="U22" s="10"/>
      <c r="V22" s="10"/>
      <c r="W22" s="10">
        <v>46218</v>
      </c>
      <c r="X22" s="10">
        <v>46223</v>
      </c>
      <c r="Y22" s="10">
        <v>46225</v>
      </c>
      <c r="Z22" s="10">
        <v>46230</v>
      </c>
      <c r="AA22" s="10">
        <v>46232</v>
      </c>
      <c r="AB22" s="10">
        <v>46237</v>
      </c>
      <c r="AC22" s="10"/>
      <c r="AD22" s="10"/>
      <c r="AE22" s="10">
        <v>46239</v>
      </c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</row>
    <row r="23" spans="1:45" ht="27.6" hidden="1">
      <c r="A23" s="22">
        <v>12</v>
      </c>
      <c r="B23" s="6" t="s">
        <v>58</v>
      </c>
      <c r="C23" s="6" t="s">
        <v>677</v>
      </c>
      <c r="D23" s="9" t="s">
        <v>80</v>
      </c>
      <c r="E23" s="9" t="s">
        <v>81</v>
      </c>
      <c r="F23" s="9" t="s">
        <v>107</v>
      </c>
      <c r="G23" s="6" t="s">
        <v>83</v>
      </c>
      <c r="H23" s="12" t="str">
        <f t="shared" si="1"/>
        <v>MM5008 Strategic Decision Making and Negotiation</v>
      </c>
      <c r="I23" s="9" t="s">
        <v>60</v>
      </c>
      <c r="J23" s="9" t="s">
        <v>108</v>
      </c>
      <c r="K23" s="9" t="s">
        <v>109</v>
      </c>
      <c r="L23" s="6">
        <v>3</v>
      </c>
      <c r="M23" s="6">
        <v>4</v>
      </c>
      <c r="N23" s="9" t="s">
        <v>110</v>
      </c>
      <c r="O23" s="9" t="s">
        <v>112</v>
      </c>
      <c r="P23" s="10">
        <v>46202</v>
      </c>
      <c r="Q23" s="10">
        <v>46204</v>
      </c>
      <c r="R23" s="10">
        <v>46209</v>
      </c>
      <c r="S23" s="10">
        <v>46211</v>
      </c>
      <c r="T23" s="10">
        <v>46216</v>
      </c>
      <c r="U23" s="10"/>
      <c r="V23" s="10"/>
      <c r="W23" s="10">
        <v>46218</v>
      </c>
      <c r="X23" s="10">
        <v>46223</v>
      </c>
      <c r="Y23" s="10">
        <v>46225</v>
      </c>
      <c r="Z23" s="10">
        <v>46230</v>
      </c>
      <c r="AA23" s="10">
        <v>46232</v>
      </c>
      <c r="AB23" s="10">
        <v>46237</v>
      </c>
      <c r="AC23" s="10"/>
      <c r="AD23" s="10"/>
      <c r="AE23" s="10">
        <v>46239</v>
      </c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</row>
    <row r="24" spans="1:45" ht="27.6" hidden="1">
      <c r="A24" s="6">
        <v>13</v>
      </c>
      <c r="B24" s="6" t="s">
        <v>58</v>
      </c>
      <c r="C24" s="6" t="s">
        <v>677</v>
      </c>
      <c r="D24" s="9" t="s">
        <v>35</v>
      </c>
      <c r="E24" s="9" t="s">
        <v>36</v>
      </c>
      <c r="F24" s="9" t="s">
        <v>113</v>
      </c>
      <c r="G24" s="6" t="s">
        <v>18</v>
      </c>
      <c r="H24" s="12" t="str">
        <f t="shared" si="1"/>
        <v>MM5007 Financial Management and Policy</v>
      </c>
      <c r="I24" s="9" t="s">
        <v>114</v>
      </c>
      <c r="J24" s="9" t="s">
        <v>115</v>
      </c>
      <c r="K24" s="9" t="s">
        <v>109</v>
      </c>
      <c r="L24" s="6">
        <v>3</v>
      </c>
      <c r="M24" s="6">
        <v>4</v>
      </c>
      <c r="N24" s="9" t="s">
        <v>116</v>
      </c>
      <c r="O24" s="9" t="s">
        <v>117</v>
      </c>
      <c r="P24" s="10">
        <v>46203</v>
      </c>
      <c r="Q24" s="10">
        <v>46205</v>
      </c>
      <c r="R24" s="10">
        <v>46210</v>
      </c>
      <c r="S24" s="10">
        <v>46212</v>
      </c>
      <c r="T24" s="10">
        <v>46217</v>
      </c>
      <c r="U24" s="10"/>
      <c r="V24" s="10"/>
      <c r="W24" s="10">
        <v>46219</v>
      </c>
      <c r="X24" s="10">
        <v>46224</v>
      </c>
      <c r="Y24" s="10">
        <v>46226</v>
      </c>
      <c r="Z24" s="10">
        <v>46231</v>
      </c>
      <c r="AA24" s="10">
        <v>46233</v>
      </c>
      <c r="AB24" s="10">
        <v>46238</v>
      </c>
      <c r="AC24" s="10"/>
      <c r="AD24" s="10"/>
      <c r="AE24" s="10">
        <v>46240</v>
      </c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</row>
    <row r="25" spans="1:45" ht="27.6" hidden="1">
      <c r="A25" s="22">
        <v>14</v>
      </c>
      <c r="B25" s="6" t="s">
        <v>58</v>
      </c>
      <c r="C25" s="6" t="s">
        <v>677</v>
      </c>
      <c r="D25" s="9" t="s">
        <v>35</v>
      </c>
      <c r="E25" s="9" t="s">
        <v>36</v>
      </c>
      <c r="F25" s="9" t="s">
        <v>118</v>
      </c>
      <c r="G25" s="6" t="s">
        <v>18</v>
      </c>
      <c r="H25" s="12" t="str">
        <f t="shared" si="1"/>
        <v>MM5007 Financial Management and Policy</v>
      </c>
      <c r="I25" s="9" t="s">
        <v>119</v>
      </c>
      <c r="J25" s="9" t="s">
        <v>115</v>
      </c>
      <c r="K25" s="9" t="s">
        <v>109</v>
      </c>
      <c r="L25" s="6">
        <v>3</v>
      </c>
      <c r="M25" s="6">
        <v>4</v>
      </c>
      <c r="N25" s="9" t="s">
        <v>116</v>
      </c>
      <c r="O25" s="9" t="s">
        <v>120</v>
      </c>
      <c r="P25" s="10">
        <v>46203</v>
      </c>
      <c r="Q25" s="10">
        <v>46205</v>
      </c>
      <c r="R25" s="10">
        <v>46210</v>
      </c>
      <c r="S25" s="10">
        <v>46212</v>
      </c>
      <c r="T25" s="10">
        <v>46217</v>
      </c>
      <c r="U25" s="10"/>
      <c r="V25" s="10"/>
      <c r="W25" s="10">
        <v>46219</v>
      </c>
      <c r="X25" s="10">
        <v>46224</v>
      </c>
      <c r="Y25" s="10">
        <v>46226</v>
      </c>
      <c r="Z25" s="10">
        <v>46231</v>
      </c>
      <c r="AA25" s="10">
        <v>46233</v>
      </c>
      <c r="AB25" s="10">
        <v>46238</v>
      </c>
      <c r="AC25" s="10"/>
      <c r="AD25" s="10"/>
      <c r="AE25" s="10">
        <v>46240</v>
      </c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</row>
    <row r="26" spans="1:45" ht="27.6" hidden="1">
      <c r="A26" s="6">
        <v>15</v>
      </c>
      <c r="B26" s="6" t="s">
        <v>58</v>
      </c>
      <c r="C26" s="6" t="s">
        <v>677</v>
      </c>
      <c r="D26" s="9" t="s">
        <v>90</v>
      </c>
      <c r="E26" s="9" t="s">
        <v>91</v>
      </c>
      <c r="F26" s="9" t="s">
        <v>121</v>
      </c>
      <c r="G26" s="6" t="s">
        <v>45</v>
      </c>
      <c r="H26" s="12" t="str">
        <f t="shared" si="1"/>
        <v>MM5001 Marketing Management</v>
      </c>
      <c r="I26" s="9" t="s">
        <v>122</v>
      </c>
      <c r="J26" s="9" t="s">
        <v>108</v>
      </c>
      <c r="K26" s="9" t="s">
        <v>109</v>
      </c>
      <c r="L26" s="6">
        <v>3</v>
      </c>
      <c r="M26" s="6">
        <v>4</v>
      </c>
      <c r="N26" s="9" t="s">
        <v>110</v>
      </c>
      <c r="O26" s="9" t="s">
        <v>123</v>
      </c>
      <c r="P26" s="10">
        <v>46202</v>
      </c>
      <c r="Q26" s="10">
        <v>46204</v>
      </c>
      <c r="R26" s="10">
        <v>46209</v>
      </c>
      <c r="S26" s="10">
        <v>46211</v>
      </c>
      <c r="T26" s="10">
        <v>46216</v>
      </c>
      <c r="U26" s="10"/>
      <c r="V26" s="10"/>
      <c r="W26" s="10">
        <v>46218</v>
      </c>
      <c r="X26" s="10">
        <v>46223</v>
      </c>
      <c r="Y26" s="10">
        <v>46225</v>
      </c>
      <c r="Z26" s="10">
        <v>46230</v>
      </c>
      <c r="AA26" s="10">
        <v>46232</v>
      </c>
      <c r="AB26" s="10">
        <v>46237</v>
      </c>
      <c r="AC26" s="10"/>
      <c r="AD26" s="10"/>
      <c r="AE26" s="10">
        <v>46239</v>
      </c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</row>
    <row r="27" spans="1:45" ht="27.6" hidden="1">
      <c r="A27" s="6">
        <v>15</v>
      </c>
      <c r="B27" s="6" t="s">
        <v>58</v>
      </c>
      <c r="C27" s="6" t="s">
        <v>677</v>
      </c>
      <c r="D27" s="9" t="s">
        <v>90</v>
      </c>
      <c r="E27" s="9" t="s">
        <v>91</v>
      </c>
      <c r="F27" s="9" t="s">
        <v>121</v>
      </c>
      <c r="G27" s="6" t="s">
        <v>45</v>
      </c>
      <c r="H27" s="12" t="str">
        <f t="shared" si="1"/>
        <v>MM5001 Marketing Management</v>
      </c>
      <c r="I27" s="9" t="s">
        <v>122</v>
      </c>
      <c r="J27" s="9" t="s">
        <v>108</v>
      </c>
      <c r="K27" s="9" t="s">
        <v>109</v>
      </c>
      <c r="L27" s="6">
        <v>3</v>
      </c>
      <c r="M27" s="6">
        <v>4</v>
      </c>
      <c r="N27" s="9" t="s">
        <v>110</v>
      </c>
      <c r="O27" s="9" t="s">
        <v>124</v>
      </c>
      <c r="P27" s="10">
        <v>46202</v>
      </c>
      <c r="Q27" s="10">
        <v>46204</v>
      </c>
      <c r="R27" s="10">
        <v>46209</v>
      </c>
      <c r="S27" s="10">
        <v>46211</v>
      </c>
      <c r="T27" s="10">
        <v>46216</v>
      </c>
      <c r="U27" s="10"/>
      <c r="V27" s="10"/>
      <c r="W27" s="10">
        <v>46218</v>
      </c>
      <c r="X27" s="10">
        <v>46223</v>
      </c>
      <c r="Y27" s="10">
        <v>46225</v>
      </c>
      <c r="Z27" s="10">
        <v>46230</v>
      </c>
      <c r="AA27" s="10">
        <v>46232</v>
      </c>
      <c r="AB27" s="10">
        <v>46237</v>
      </c>
      <c r="AC27" s="10"/>
      <c r="AD27" s="10"/>
      <c r="AE27" s="10">
        <v>46239</v>
      </c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</row>
    <row r="28" spans="1:45" ht="41.4" hidden="1">
      <c r="A28" s="22">
        <v>16</v>
      </c>
      <c r="B28" s="6" t="s">
        <v>58</v>
      </c>
      <c r="C28" s="6" t="s">
        <v>677</v>
      </c>
      <c r="D28" s="9" t="s">
        <v>43</v>
      </c>
      <c r="E28" s="9" t="s">
        <v>44</v>
      </c>
      <c r="F28" s="9" t="s">
        <v>125</v>
      </c>
      <c r="G28" s="6" t="s">
        <v>45</v>
      </c>
      <c r="H28" s="12" t="str">
        <f t="shared" si="1"/>
        <v>MM5010 Strategic Management and Agile Enterprise</v>
      </c>
      <c r="I28" s="9" t="s">
        <v>126</v>
      </c>
      <c r="J28" s="9" t="s">
        <v>108</v>
      </c>
      <c r="K28" s="9" t="s">
        <v>109</v>
      </c>
      <c r="L28" s="6">
        <v>3</v>
      </c>
      <c r="M28" s="6">
        <v>4</v>
      </c>
      <c r="N28" s="9" t="s">
        <v>110</v>
      </c>
      <c r="O28" s="9" t="s">
        <v>127</v>
      </c>
      <c r="P28" s="10">
        <v>46202</v>
      </c>
      <c r="Q28" s="10">
        <v>46204</v>
      </c>
      <c r="R28" s="10">
        <v>46209</v>
      </c>
      <c r="S28" s="10">
        <v>46211</v>
      </c>
      <c r="T28" s="10">
        <v>46216</v>
      </c>
      <c r="U28" s="10"/>
      <c r="V28" s="10"/>
      <c r="W28" s="10">
        <v>46218</v>
      </c>
      <c r="X28" s="10">
        <v>46223</v>
      </c>
      <c r="Y28" s="10">
        <v>46225</v>
      </c>
      <c r="Z28" s="10">
        <v>46230</v>
      </c>
      <c r="AA28" s="10">
        <v>46232</v>
      </c>
      <c r="AB28" s="10">
        <v>46237</v>
      </c>
      <c r="AC28" s="10"/>
      <c r="AD28" s="10"/>
      <c r="AE28" s="10">
        <v>46239</v>
      </c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</row>
    <row r="29" spans="1:45" ht="41.4" hidden="1">
      <c r="A29" s="6">
        <v>17</v>
      </c>
      <c r="B29" s="6" t="s">
        <v>58</v>
      </c>
      <c r="C29" s="6" t="s">
        <v>677</v>
      </c>
      <c r="D29" s="9" t="s">
        <v>43</v>
      </c>
      <c r="E29" s="9" t="s">
        <v>44</v>
      </c>
      <c r="F29" s="9" t="s">
        <v>128</v>
      </c>
      <c r="G29" s="6" t="s">
        <v>45</v>
      </c>
      <c r="H29" s="12" t="str">
        <f t="shared" si="1"/>
        <v>MM5010 Strategic Management and Agile Enterprise</v>
      </c>
      <c r="I29" s="9" t="s">
        <v>129</v>
      </c>
      <c r="J29" s="9" t="s">
        <v>108</v>
      </c>
      <c r="K29" s="9" t="s">
        <v>109</v>
      </c>
      <c r="L29" s="6">
        <v>3</v>
      </c>
      <c r="M29" s="6">
        <v>4</v>
      </c>
      <c r="N29" s="9" t="s">
        <v>110</v>
      </c>
      <c r="O29" s="9" t="s">
        <v>68</v>
      </c>
      <c r="P29" s="10">
        <v>46202</v>
      </c>
      <c r="Q29" s="10">
        <v>46204</v>
      </c>
      <c r="R29" s="10">
        <v>46209</v>
      </c>
      <c r="S29" s="10">
        <v>46211</v>
      </c>
      <c r="T29" s="10">
        <v>46216</v>
      </c>
      <c r="U29" s="10"/>
      <c r="V29" s="10"/>
      <c r="W29" s="10">
        <v>46218</v>
      </c>
      <c r="X29" s="10">
        <v>46223</v>
      </c>
      <c r="Y29" s="10">
        <v>46225</v>
      </c>
      <c r="Z29" s="10">
        <v>46230</v>
      </c>
      <c r="AA29" s="10">
        <v>46232</v>
      </c>
      <c r="AB29" s="10">
        <v>46237</v>
      </c>
      <c r="AC29" s="10"/>
      <c r="AD29" s="10"/>
      <c r="AE29" s="10">
        <v>46239</v>
      </c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</row>
    <row r="30" spans="1:45" ht="27.6" hidden="1">
      <c r="A30" s="22">
        <v>18</v>
      </c>
      <c r="B30" s="7" t="s">
        <v>58</v>
      </c>
      <c r="C30" s="6" t="s">
        <v>677</v>
      </c>
      <c r="D30" s="8" t="s">
        <v>95</v>
      </c>
      <c r="E30" s="8" t="s">
        <v>130</v>
      </c>
      <c r="F30" s="9" t="s">
        <v>121</v>
      </c>
      <c r="G30" s="6" t="s">
        <v>18</v>
      </c>
      <c r="H30" s="12" t="str">
        <f t="shared" si="1"/>
        <v>MM5006 Entrepreneurial Economics</v>
      </c>
      <c r="I30" s="9" t="s">
        <v>122</v>
      </c>
      <c r="J30" s="9" t="s">
        <v>115</v>
      </c>
      <c r="K30" s="9" t="s">
        <v>109</v>
      </c>
      <c r="L30" s="6">
        <v>3</v>
      </c>
      <c r="M30" s="6">
        <v>4</v>
      </c>
      <c r="N30" s="9" t="s">
        <v>116</v>
      </c>
      <c r="O30" s="8"/>
      <c r="P30" s="10">
        <v>46203</v>
      </c>
      <c r="Q30" s="10">
        <v>46205</v>
      </c>
      <c r="R30" s="10">
        <v>46210</v>
      </c>
      <c r="S30" s="10">
        <v>46212</v>
      </c>
      <c r="T30" s="10">
        <v>46217</v>
      </c>
      <c r="U30" s="10"/>
      <c r="V30" s="10"/>
      <c r="W30" s="10">
        <v>46219</v>
      </c>
      <c r="X30" s="10">
        <v>46224</v>
      </c>
      <c r="Y30" s="10">
        <v>46226</v>
      </c>
      <c r="Z30" s="10">
        <v>46231</v>
      </c>
      <c r="AA30" s="10">
        <v>46233</v>
      </c>
      <c r="AB30" s="10">
        <v>46238</v>
      </c>
      <c r="AC30" s="10"/>
      <c r="AD30" s="10"/>
      <c r="AE30" s="10">
        <v>46240</v>
      </c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</row>
    <row r="31" spans="1:45" ht="27.6" hidden="1">
      <c r="A31" s="6">
        <v>19</v>
      </c>
      <c r="B31" s="6" t="s">
        <v>58</v>
      </c>
      <c r="C31" s="6" t="s">
        <v>677</v>
      </c>
      <c r="D31" s="9" t="s">
        <v>16</v>
      </c>
      <c r="E31" s="9" t="s">
        <v>17</v>
      </c>
      <c r="F31" s="9" t="s">
        <v>113</v>
      </c>
      <c r="G31" s="6" t="s">
        <v>18</v>
      </c>
      <c r="H31" s="12" t="str">
        <f t="shared" si="1"/>
        <v>MM5005 Economic and Business Landscape Analysis</v>
      </c>
      <c r="I31" s="9" t="s">
        <v>114</v>
      </c>
      <c r="J31" s="9" t="s">
        <v>108</v>
      </c>
      <c r="K31" s="9" t="s">
        <v>109</v>
      </c>
      <c r="L31" s="6">
        <v>3</v>
      </c>
      <c r="M31" s="6">
        <v>4</v>
      </c>
      <c r="N31" s="9" t="s">
        <v>110</v>
      </c>
      <c r="O31" s="9" t="s">
        <v>62</v>
      </c>
      <c r="P31" s="10">
        <v>46202</v>
      </c>
      <c r="Q31" s="10">
        <v>46204</v>
      </c>
      <c r="R31" s="10">
        <v>46209</v>
      </c>
      <c r="S31" s="10">
        <v>46211</v>
      </c>
      <c r="T31" s="10">
        <v>46216</v>
      </c>
      <c r="U31" s="10"/>
      <c r="V31" s="10"/>
      <c r="W31" s="10">
        <v>46218</v>
      </c>
      <c r="X31" s="10">
        <v>46223</v>
      </c>
      <c r="Y31" s="10">
        <v>46225</v>
      </c>
      <c r="Z31" s="10">
        <v>46230</v>
      </c>
      <c r="AA31" s="10">
        <v>46232</v>
      </c>
      <c r="AB31" s="10">
        <v>46237</v>
      </c>
      <c r="AC31" s="10"/>
      <c r="AD31" s="10"/>
      <c r="AE31" s="10">
        <v>46239</v>
      </c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</row>
    <row r="32" spans="1:45" ht="27.6" hidden="1">
      <c r="A32" s="6">
        <v>19</v>
      </c>
      <c r="B32" s="6" t="s">
        <v>58</v>
      </c>
      <c r="C32" s="6" t="s">
        <v>677</v>
      </c>
      <c r="D32" s="9" t="s">
        <v>16</v>
      </c>
      <c r="E32" s="9" t="s">
        <v>17</v>
      </c>
      <c r="F32" s="9" t="s">
        <v>113</v>
      </c>
      <c r="G32" s="6" t="s">
        <v>18</v>
      </c>
      <c r="H32" s="12" t="str">
        <f t="shared" si="1"/>
        <v>MM5005 Economic and Business Landscape Analysis</v>
      </c>
      <c r="I32" s="9" t="s">
        <v>114</v>
      </c>
      <c r="J32" s="9" t="s">
        <v>108</v>
      </c>
      <c r="K32" s="9" t="s">
        <v>109</v>
      </c>
      <c r="L32" s="6">
        <v>3</v>
      </c>
      <c r="M32" s="6">
        <v>4</v>
      </c>
      <c r="N32" s="9" t="s">
        <v>110</v>
      </c>
      <c r="O32" s="9" t="s">
        <v>24</v>
      </c>
      <c r="P32" s="10">
        <v>46202</v>
      </c>
      <c r="Q32" s="10">
        <v>46204</v>
      </c>
      <c r="R32" s="10">
        <v>46209</v>
      </c>
      <c r="S32" s="10">
        <v>46211</v>
      </c>
      <c r="T32" s="10">
        <v>46216</v>
      </c>
      <c r="U32" s="10"/>
      <c r="V32" s="10"/>
      <c r="W32" s="10">
        <v>46218</v>
      </c>
      <c r="X32" s="10">
        <v>46223</v>
      </c>
      <c r="Y32" s="10">
        <v>46225</v>
      </c>
      <c r="Z32" s="10">
        <v>46230</v>
      </c>
      <c r="AA32" s="10">
        <v>46232</v>
      </c>
      <c r="AB32" s="10">
        <v>46237</v>
      </c>
      <c r="AC32" s="10"/>
      <c r="AD32" s="10"/>
      <c r="AE32" s="10">
        <v>46239</v>
      </c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</row>
    <row r="33" spans="1:45" ht="27.6" hidden="1">
      <c r="A33" s="22">
        <v>20</v>
      </c>
      <c r="B33" s="6" t="s">
        <v>58</v>
      </c>
      <c r="C33" s="6" t="s">
        <v>677</v>
      </c>
      <c r="D33" s="9" t="s">
        <v>16</v>
      </c>
      <c r="E33" s="9" t="s">
        <v>17</v>
      </c>
      <c r="F33" s="9" t="s">
        <v>118</v>
      </c>
      <c r="G33" s="6" t="s">
        <v>18</v>
      </c>
      <c r="H33" s="12" t="str">
        <f t="shared" si="1"/>
        <v>MM5005 Economic and Business Landscape Analysis</v>
      </c>
      <c r="I33" s="9" t="s">
        <v>119</v>
      </c>
      <c r="J33" s="9" t="s">
        <v>108</v>
      </c>
      <c r="K33" s="9" t="s">
        <v>109</v>
      </c>
      <c r="L33" s="6">
        <v>3</v>
      </c>
      <c r="M33" s="6">
        <v>4</v>
      </c>
      <c r="N33" s="9" t="s">
        <v>110</v>
      </c>
      <c r="O33" s="9" t="s">
        <v>131</v>
      </c>
      <c r="P33" s="10">
        <v>46202</v>
      </c>
      <c r="Q33" s="10">
        <v>46204</v>
      </c>
      <c r="R33" s="10">
        <v>46209</v>
      </c>
      <c r="S33" s="10">
        <v>46211</v>
      </c>
      <c r="T33" s="10">
        <v>46216</v>
      </c>
      <c r="U33" s="10"/>
      <c r="V33" s="10"/>
      <c r="W33" s="10">
        <v>46218</v>
      </c>
      <c r="X33" s="10">
        <v>46223</v>
      </c>
      <c r="Y33" s="10">
        <v>46225</v>
      </c>
      <c r="Z33" s="10">
        <v>46230</v>
      </c>
      <c r="AA33" s="10">
        <v>46232</v>
      </c>
      <c r="AB33" s="10">
        <v>46237</v>
      </c>
      <c r="AC33" s="10"/>
      <c r="AD33" s="10"/>
      <c r="AE33" s="10">
        <v>46239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</row>
    <row r="34" spans="1:45" ht="27.6" hidden="1">
      <c r="A34" s="6">
        <v>21</v>
      </c>
      <c r="B34" s="7" t="s">
        <v>58</v>
      </c>
      <c r="C34" s="6" t="s">
        <v>677</v>
      </c>
      <c r="D34" s="8" t="s">
        <v>35</v>
      </c>
      <c r="E34" s="8" t="s">
        <v>36</v>
      </c>
      <c r="F34" s="9" t="s">
        <v>121</v>
      </c>
      <c r="G34" s="6" t="s">
        <v>18</v>
      </c>
      <c r="H34" s="12" t="str">
        <f t="shared" si="1"/>
        <v>MM5007 Financial Management and Policy</v>
      </c>
      <c r="I34" s="9" t="s">
        <v>122</v>
      </c>
      <c r="J34" s="9" t="s">
        <v>132</v>
      </c>
      <c r="K34" s="9" t="s">
        <v>133</v>
      </c>
      <c r="L34" s="6">
        <v>3</v>
      </c>
      <c r="M34" s="6">
        <v>4</v>
      </c>
      <c r="N34" s="9" t="s">
        <v>134</v>
      </c>
      <c r="O34" s="8"/>
      <c r="P34" s="10">
        <v>46202</v>
      </c>
      <c r="Q34" s="10">
        <v>46204</v>
      </c>
      <c r="R34" s="10">
        <v>46209</v>
      </c>
      <c r="S34" s="10">
        <v>46211</v>
      </c>
      <c r="T34" s="10">
        <v>46216</v>
      </c>
      <c r="U34" s="10"/>
      <c r="V34" s="10"/>
      <c r="W34" s="10">
        <v>46218</v>
      </c>
      <c r="X34" s="10">
        <v>46223</v>
      </c>
      <c r="Y34" s="10">
        <v>46225</v>
      </c>
      <c r="Z34" s="10">
        <v>46230</v>
      </c>
      <c r="AA34" s="10">
        <v>46232</v>
      </c>
      <c r="AB34" s="10">
        <v>46237</v>
      </c>
      <c r="AC34" s="10"/>
      <c r="AD34" s="10"/>
      <c r="AE34" s="10">
        <v>46239</v>
      </c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</row>
    <row r="35" spans="1:45" ht="41.4" hidden="1">
      <c r="A35" s="22">
        <v>22</v>
      </c>
      <c r="B35" s="6" t="s">
        <v>58</v>
      </c>
      <c r="C35" s="6" t="s">
        <v>677</v>
      </c>
      <c r="D35" s="9" t="s">
        <v>49</v>
      </c>
      <c r="E35" s="9" t="s">
        <v>50</v>
      </c>
      <c r="F35" s="9" t="s">
        <v>125</v>
      </c>
      <c r="G35" s="6" t="s">
        <v>51</v>
      </c>
      <c r="H35" s="12" t="str">
        <f t="shared" si="1"/>
        <v>MM5011 Management of Innovation, Technology and Entrepreneurship</v>
      </c>
      <c r="I35" s="9" t="s">
        <v>126</v>
      </c>
      <c r="J35" s="9" t="s">
        <v>115</v>
      </c>
      <c r="K35" s="9" t="s">
        <v>109</v>
      </c>
      <c r="L35" s="6">
        <v>3</v>
      </c>
      <c r="M35" s="6">
        <v>4</v>
      </c>
      <c r="N35" s="9" t="s">
        <v>116</v>
      </c>
      <c r="O35" s="9" t="s">
        <v>135</v>
      </c>
      <c r="P35" s="10">
        <v>46203</v>
      </c>
      <c r="Q35" s="10">
        <v>46205</v>
      </c>
      <c r="R35" s="10">
        <v>46210</v>
      </c>
      <c r="S35" s="10">
        <v>46212</v>
      </c>
      <c r="T35" s="10">
        <v>46217</v>
      </c>
      <c r="U35" s="10"/>
      <c r="V35" s="10"/>
      <c r="W35" s="10">
        <v>46219</v>
      </c>
      <c r="X35" s="10">
        <v>46224</v>
      </c>
      <c r="Y35" s="10">
        <v>46226</v>
      </c>
      <c r="Z35" s="10">
        <v>46231</v>
      </c>
      <c r="AA35" s="10">
        <v>46233</v>
      </c>
      <c r="AB35" s="10">
        <v>46238</v>
      </c>
      <c r="AC35" s="10"/>
      <c r="AD35" s="10"/>
      <c r="AE35" s="10">
        <v>46240</v>
      </c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</row>
    <row r="36" spans="1:45" ht="41.4" hidden="1">
      <c r="A36" s="22">
        <v>22</v>
      </c>
      <c r="B36" s="6" t="s">
        <v>58</v>
      </c>
      <c r="C36" s="6" t="s">
        <v>677</v>
      </c>
      <c r="D36" s="9" t="s">
        <v>49</v>
      </c>
      <c r="E36" s="9" t="s">
        <v>50</v>
      </c>
      <c r="F36" s="9" t="s">
        <v>125</v>
      </c>
      <c r="G36" s="6" t="s">
        <v>51</v>
      </c>
      <c r="H36" s="12" t="str">
        <f t="shared" si="1"/>
        <v>MM5011 Management of Innovation, Technology and Entrepreneurship</v>
      </c>
      <c r="I36" s="9" t="s">
        <v>126</v>
      </c>
      <c r="J36" s="9" t="s">
        <v>115</v>
      </c>
      <c r="K36" s="9" t="s">
        <v>109</v>
      </c>
      <c r="L36" s="6">
        <v>3</v>
      </c>
      <c r="M36" s="6">
        <v>4</v>
      </c>
      <c r="N36" s="9" t="s">
        <v>116</v>
      </c>
      <c r="O36" s="9" t="s">
        <v>136</v>
      </c>
      <c r="P36" s="10">
        <v>46203</v>
      </c>
      <c r="Q36" s="10">
        <v>46205</v>
      </c>
      <c r="R36" s="10">
        <v>46210</v>
      </c>
      <c r="S36" s="10">
        <v>46212</v>
      </c>
      <c r="T36" s="10">
        <v>46217</v>
      </c>
      <c r="U36" s="10"/>
      <c r="V36" s="10"/>
      <c r="W36" s="10">
        <v>46219</v>
      </c>
      <c r="X36" s="10">
        <v>46224</v>
      </c>
      <c r="Y36" s="10">
        <v>46226</v>
      </c>
      <c r="Z36" s="10">
        <v>46231</v>
      </c>
      <c r="AA36" s="10">
        <v>46233</v>
      </c>
      <c r="AB36" s="10">
        <v>46238</v>
      </c>
      <c r="AC36" s="10"/>
      <c r="AD36" s="10"/>
      <c r="AE36" s="10">
        <v>46240</v>
      </c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</row>
    <row r="37" spans="1:45" ht="41.4" hidden="1">
      <c r="A37" s="6">
        <v>23</v>
      </c>
      <c r="B37" s="6" t="s">
        <v>58</v>
      </c>
      <c r="C37" s="6" t="s">
        <v>677</v>
      </c>
      <c r="D37" s="9" t="s">
        <v>49</v>
      </c>
      <c r="E37" s="9" t="s">
        <v>50</v>
      </c>
      <c r="F37" s="9" t="s">
        <v>128</v>
      </c>
      <c r="G37" s="6" t="s">
        <v>51</v>
      </c>
      <c r="H37" s="12" t="str">
        <f t="shared" si="1"/>
        <v>MM5011 Management of Innovation, Technology and Entrepreneurship</v>
      </c>
      <c r="I37" s="9" t="s">
        <v>129</v>
      </c>
      <c r="J37" s="9" t="s">
        <v>137</v>
      </c>
      <c r="K37" s="9" t="s">
        <v>133</v>
      </c>
      <c r="L37" s="6">
        <v>3</v>
      </c>
      <c r="M37" s="6">
        <v>4</v>
      </c>
      <c r="N37" s="9" t="s">
        <v>138</v>
      </c>
      <c r="O37" s="9" t="s">
        <v>136</v>
      </c>
      <c r="P37" s="10">
        <v>46203</v>
      </c>
      <c r="Q37" s="10">
        <v>46205</v>
      </c>
      <c r="R37" s="10">
        <v>46210</v>
      </c>
      <c r="S37" s="10">
        <v>46212</v>
      </c>
      <c r="T37" s="10">
        <v>46217</v>
      </c>
      <c r="U37" s="10"/>
      <c r="V37" s="10"/>
      <c r="W37" s="10">
        <v>46219</v>
      </c>
      <c r="X37" s="10">
        <v>46224</v>
      </c>
      <c r="Y37" s="10">
        <v>46226</v>
      </c>
      <c r="Z37" s="10">
        <v>46231</v>
      </c>
      <c r="AA37" s="10">
        <v>46233</v>
      </c>
      <c r="AB37" s="10">
        <v>46238</v>
      </c>
      <c r="AC37" s="10"/>
      <c r="AD37" s="10"/>
      <c r="AE37" s="10">
        <v>46240</v>
      </c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</row>
    <row r="38" spans="1:45" ht="41.4" hidden="1">
      <c r="A38" s="6">
        <v>23</v>
      </c>
      <c r="B38" s="6" t="s">
        <v>58</v>
      </c>
      <c r="C38" s="6" t="s">
        <v>677</v>
      </c>
      <c r="D38" s="9" t="s">
        <v>49</v>
      </c>
      <c r="E38" s="9" t="s">
        <v>50</v>
      </c>
      <c r="F38" s="9" t="s">
        <v>128</v>
      </c>
      <c r="G38" s="6" t="s">
        <v>51</v>
      </c>
      <c r="H38" s="12" t="str">
        <f t="shared" si="1"/>
        <v>MM5011 Management of Innovation, Technology and Entrepreneurship</v>
      </c>
      <c r="I38" s="9" t="s">
        <v>129</v>
      </c>
      <c r="J38" s="9" t="s">
        <v>137</v>
      </c>
      <c r="K38" s="9" t="s">
        <v>133</v>
      </c>
      <c r="L38" s="6">
        <v>3</v>
      </c>
      <c r="M38" s="6">
        <v>4</v>
      </c>
      <c r="N38" s="9" t="s">
        <v>138</v>
      </c>
      <c r="O38" s="9" t="s">
        <v>103</v>
      </c>
      <c r="P38" s="10">
        <v>46203</v>
      </c>
      <c r="Q38" s="10">
        <v>46205</v>
      </c>
      <c r="R38" s="10">
        <v>46210</v>
      </c>
      <c r="S38" s="10">
        <v>46212</v>
      </c>
      <c r="T38" s="10">
        <v>46217</v>
      </c>
      <c r="U38" s="10"/>
      <c r="V38" s="10"/>
      <c r="W38" s="10">
        <v>46219</v>
      </c>
      <c r="X38" s="10">
        <v>46224</v>
      </c>
      <c r="Y38" s="10">
        <v>46226</v>
      </c>
      <c r="Z38" s="10">
        <v>46231</v>
      </c>
      <c r="AA38" s="10">
        <v>46233</v>
      </c>
      <c r="AB38" s="10">
        <v>46238</v>
      </c>
      <c r="AC38" s="10"/>
      <c r="AD38" s="10"/>
      <c r="AE38" s="10">
        <v>46240</v>
      </c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</row>
    <row r="39" spans="1:45" ht="14.4" hidden="1">
      <c r="A39" s="23"/>
      <c r="B39" s="23" t="s">
        <v>58</v>
      </c>
      <c r="C39" s="6" t="s">
        <v>677</v>
      </c>
      <c r="D39" s="24" t="s">
        <v>54</v>
      </c>
      <c r="E39" s="24" t="s">
        <v>55</v>
      </c>
      <c r="F39" s="24" t="s">
        <v>125</v>
      </c>
      <c r="G39" s="23"/>
      <c r="H39" s="24"/>
      <c r="I39" s="24"/>
      <c r="J39" s="24"/>
      <c r="K39" s="24"/>
      <c r="L39" s="23">
        <v>3</v>
      </c>
      <c r="M39" s="23"/>
      <c r="N39" s="24"/>
      <c r="O39" s="24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</row>
    <row r="40" spans="1:45" ht="14.4" hidden="1">
      <c r="A40" s="23"/>
      <c r="B40" s="23" t="s">
        <v>58</v>
      </c>
      <c r="C40" s="6" t="s">
        <v>677</v>
      </c>
      <c r="D40" s="24" t="s">
        <v>54</v>
      </c>
      <c r="E40" s="24" t="s">
        <v>55</v>
      </c>
      <c r="F40" s="24" t="s">
        <v>125</v>
      </c>
      <c r="G40" s="23"/>
      <c r="H40" s="24"/>
      <c r="I40" s="24"/>
      <c r="J40" s="24"/>
      <c r="K40" s="24"/>
      <c r="L40" s="23">
        <v>3</v>
      </c>
      <c r="M40" s="23"/>
      <c r="N40" s="24"/>
      <c r="O40" s="24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</row>
    <row r="41" spans="1:45" ht="14.4" hidden="1">
      <c r="A41" s="23"/>
      <c r="B41" s="23" t="s">
        <v>58</v>
      </c>
      <c r="C41" s="6" t="s">
        <v>677</v>
      </c>
      <c r="D41" s="24" t="s">
        <v>54</v>
      </c>
      <c r="E41" s="24" t="s">
        <v>55</v>
      </c>
      <c r="F41" s="24" t="s">
        <v>128</v>
      </c>
      <c r="G41" s="23"/>
      <c r="H41" s="24"/>
      <c r="I41" s="24"/>
      <c r="J41" s="24"/>
      <c r="K41" s="24"/>
      <c r="L41" s="23">
        <v>3</v>
      </c>
      <c r="M41" s="23"/>
      <c r="N41" s="24"/>
      <c r="O41" s="24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</row>
    <row r="42" spans="1:45" ht="14.4" hidden="1">
      <c r="A42" s="23"/>
      <c r="B42" s="23" t="s">
        <v>58</v>
      </c>
      <c r="C42" s="6" t="s">
        <v>677</v>
      </c>
      <c r="D42" s="24" t="s">
        <v>54</v>
      </c>
      <c r="E42" s="24" t="s">
        <v>55</v>
      </c>
      <c r="F42" s="24" t="s">
        <v>128</v>
      </c>
      <c r="G42" s="23"/>
      <c r="H42" s="24"/>
      <c r="I42" s="24"/>
      <c r="J42" s="24"/>
      <c r="K42" s="24"/>
      <c r="L42" s="23">
        <v>3</v>
      </c>
      <c r="M42" s="23"/>
      <c r="N42" s="24"/>
      <c r="O42" s="24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5" t="s">
        <v>56</v>
      </c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</row>
    <row r="43" spans="1:45" ht="41.4" hidden="1">
      <c r="A43" s="22">
        <v>24</v>
      </c>
      <c r="B43" s="7" t="s">
        <v>58</v>
      </c>
      <c r="C43" s="6" t="s">
        <v>677</v>
      </c>
      <c r="D43" s="8" t="s">
        <v>49</v>
      </c>
      <c r="E43" s="8" t="s">
        <v>50</v>
      </c>
      <c r="F43" s="9" t="s">
        <v>113</v>
      </c>
      <c r="G43" s="6" t="s">
        <v>51</v>
      </c>
      <c r="H43" s="12" t="str">
        <f t="shared" ref="H43:H222" si="2">D43 &amp; " " &amp;E43</f>
        <v>MM5011 Management of Innovation, Technology and Entrepreneurship</v>
      </c>
      <c r="I43" s="9" t="s">
        <v>114</v>
      </c>
      <c r="J43" s="9" t="s">
        <v>132</v>
      </c>
      <c r="K43" s="9" t="s">
        <v>133</v>
      </c>
      <c r="L43" s="6">
        <v>3</v>
      </c>
      <c r="M43" s="6">
        <v>4</v>
      </c>
      <c r="N43" s="9" t="s">
        <v>134</v>
      </c>
      <c r="O43" s="8"/>
      <c r="P43" s="10">
        <v>46202</v>
      </c>
      <c r="Q43" s="10">
        <v>46204</v>
      </c>
      <c r="R43" s="10">
        <v>46209</v>
      </c>
      <c r="S43" s="10">
        <v>46211</v>
      </c>
      <c r="T43" s="10">
        <v>46216</v>
      </c>
      <c r="U43" s="10"/>
      <c r="V43" s="10"/>
      <c r="W43" s="10">
        <v>46218</v>
      </c>
      <c r="X43" s="10">
        <v>46223</v>
      </c>
      <c r="Y43" s="10">
        <v>46225</v>
      </c>
      <c r="Z43" s="10">
        <v>46230</v>
      </c>
      <c r="AA43" s="10">
        <v>46232</v>
      </c>
      <c r="AB43" s="10">
        <v>46237</v>
      </c>
      <c r="AC43" s="10"/>
      <c r="AD43" s="10"/>
      <c r="AE43" s="10">
        <v>46239</v>
      </c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</row>
    <row r="44" spans="1:45" ht="41.4" hidden="1">
      <c r="A44" s="6">
        <v>25</v>
      </c>
      <c r="B44" s="7" t="s">
        <v>58</v>
      </c>
      <c r="C44" s="6" t="s">
        <v>677</v>
      </c>
      <c r="D44" s="8" t="s">
        <v>49</v>
      </c>
      <c r="E44" s="8" t="s">
        <v>50</v>
      </c>
      <c r="F44" s="9" t="s">
        <v>118</v>
      </c>
      <c r="G44" s="6" t="s">
        <v>51</v>
      </c>
      <c r="H44" s="12" t="str">
        <f t="shared" si="2"/>
        <v>MM5011 Management of Innovation, Technology and Entrepreneurship</v>
      </c>
      <c r="I44" s="9" t="s">
        <v>119</v>
      </c>
      <c r="J44" s="9" t="s">
        <v>132</v>
      </c>
      <c r="K44" s="9" t="s">
        <v>133</v>
      </c>
      <c r="L44" s="6">
        <v>3</v>
      </c>
      <c r="M44" s="6">
        <v>4</v>
      </c>
      <c r="N44" s="9" t="s">
        <v>134</v>
      </c>
      <c r="O44" s="8"/>
      <c r="P44" s="10">
        <v>46202</v>
      </c>
      <c r="Q44" s="10">
        <v>46204</v>
      </c>
      <c r="R44" s="10">
        <v>46209</v>
      </c>
      <c r="S44" s="10">
        <v>46211</v>
      </c>
      <c r="T44" s="10">
        <v>46216</v>
      </c>
      <c r="U44" s="10"/>
      <c r="V44" s="10"/>
      <c r="W44" s="10">
        <v>46218</v>
      </c>
      <c r="X44" s="10">
        <v>46223</v>
      </c>
      <c r="Y44" s="10">
        <v>46225</v>
      </c>
      <c r="Z44" s="10">
        <v>46230</v>
      </c>
      <c r="AA44" s="10">
        <v>46232</v>
      </c>
      <c r="AB44" s="10">
        <v>46237</v>
      </c>
      <c r="AC44" s="10"/>
      <c r="AD44" s="10"/>
      <c r="AE44" s="10">
        <v>46239</v>
      </c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</row>
    <row r="45" spans="1:45" ht="41.4" hidden="1">
      <c r="A45" s="22">
        <v>26</v>
      </c>
      <c r="B45" s="7" t="s">
        <v>58</v>
      </c>
      <c r="C45" s="6" t="s">
        <v>677</v>
      </c>
      <c r="D45" s="8" t="s">
        <v>43</v>
      </c>
      <c r="E45" s="8" t="s">
        <v>44</v>
      </c>
      <c r="F45" s="9" t="s">
        <v>107</v>
      </c>
      <c r="G45" s="6" t="s">
        <v>45</v>
      </c>
      <c r="H45" s="12" t="str">
        <f t="shared" si="2"/>
        <v>MM5010 Strategic Management and Agile Enterprise</v>
      </c>
      <c r="I45" s="9" t="s">
        <v>60</v>
      </c>
      <c r="J45" s="9" t="s">
        <v>137</v>
      </c>
      <c r="K45" s="9" t="s">
        <v>133</v>
      </c>
      <c r="L45" s="6">
        <v>3</v>
      </c>
      <c r="M45" s="6">
        <v>4</v>
      </c>
      <c r="N45" s="9" t="s">
        <v>138</v>
      </c>
      <c r="O45" s="8"/>
      <c r="P45" s="10">
        <v>46203</v>
      </c>
      <c r="Q45" s="10">
        <v>46205</v>
      </c>
      <c r="R45" s="10">
        <v>46210</v>
      </c>
      <c r="S45" s="10">
        <v>46212</v>
      </c>
      <c r="T45" s="10">
        <v>46217</v>
      </c>
      <c r="U45" s="10"/>
      <c r="V45" s="10"/>
      <c r="W45" s="10">
        <v>46219</v>
      </c>
      <c r="X45" s="10">
        <v>46224</v>
      </c>
      <c r="Y45" s="10">
        <v>46226</v>
      </c>
      <c r="Z45" s="10">
        <v>46231</v>
      </c>
      <c r="AA45" s="10">
        <v>46233</v>
      </c>
      <c r="AB45" s="10">
        <v>46238</v>
      </c>
      <c r="AC45" s="10"/>
      <c r="AD45" s="10"/>
      <c r="AE45" s="10">
        <v>46240</v>
      </c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</row>
    <row r="46" spans="1:45" ht="41.4" hidden="1">
      <c r="A46" s="6">
        <v>27</v>
      </c>
      <c r="B46" s="7" t="s">
        <v>58</v>
      </c>
      <c r="C46" s="6" t="s">
        <v>677</v>
      </c>
      <c r="D46" s="8" t="s">
        <v>49</v>
      </c>
      <c r="E46" s="8" t="s">
        <v>50</v>
      </c>
      <c r="F46" s="9" t="s">
        <v>107</v>
      </c>
      <c r="G46" s="6" t="s">
        <v>51</v>
      </c>
      <c r="H46" s="12" t="str">
        <f t="shared" si="2"/>
        <v>MM5011 Management of Innovation, Technology and Entrepreneurship</v>
      </c>
      <c r="I46" s="9" t="s">
        <v>60</v>
      </c>
      <c r="J46" s="9" t="s">
        <v>115</v>
      </c>
      <c r="K46" s="9" t="s">
        <v>109</v>
      </c>
      <c r="L46" s="6">
        <v>3</v>
      </c>
      <c r="M46" s="6">
        <v>4</v>
      </c>
      <c r="N46" s="9" t="s">
        <v>116</v>
      </c>
      <c r="O46" s="8"/>
      <c r="P46" s="10">
        <v>46203</v>
      </c>
      <c r="Q46" s="10">
        <v>46205</v>
      </c>
      <c r="R46" s="10">
        <v>46210</v>
      </c>
      <c r="S46" s="10">
        <v>46212</v>
      </c>
      <c r="T46" s="10">
        <v>46217</v>
      </c>
      <c r="U46" s="10"/>
      <c r="V46" s="10"/>
      <c r="W46" s="10">
        <v>46219</v>
      </c>
      <c r="X46" s="10">
        <v>46224</v>
      </c>
      <c r="Y46" s="10">
        <v>46226</v>
      </c>
      <c r="Z46" s="10">
        <v>46231</v>
      </c>
      <c r="AA46" s="10">
        <v>46233</v>
      </c>
      <c r="AB46" s="10">
        <v>46238</v>
      </c>
      <c r="AC46" s="10"/>
      <c r="AD46" s="10"/>
      <c r="AE46" s="10">
        <v>46240</v>
      </c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</row>
    <row r="47" spans="1:45" ht="41.4" hidden="1">
      <c r="A47" s="22">
        <v>28</v>
      </c>
      <c r="B47" s="6" t="s">
        <v>58</v>
      </c>
      <c r="C47" s="6" t="s">
        <v>677</v>
      </c>
      <c r="D47" s="9" t="s">
        <v>139</v>
      </c>
      <c r="E47" s="9" t="s">
        <v>140</v>
      </c>
      <c r="F47" s="9" t="s">
        <v>141</v>
      </c>
      <c r="G47" s="6" t="s">
        <v>1</v>
      </c>
      <c r="H47" s="12" t="str">
        <f t="shared" si="2"/>
        <v>MM6097/ 
MM6098 Project Thesis /
Research Thesis</v>
      </c>
      <c r="I47" s="9"/>
      <c r="J47" s="9"/>
      <c r="K47" s="9"/>
      <c r="L47" s="6">
        <v>9</v>
      </c>
      <c r="M47" s="6">
        <v>4</v>
      </c>
      <c r="N47" s="9"/>
      <c r="O47" s="9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</row>
    <row r="48" spans="1:45" ht="14.4" hidden="1">
      <c r="A48" s="6">
        <v>29</v>
      </c>
      <c r="B48" s="6" t="s">
        <v>58</v>
      </c>
      <c r="C48" s="6" t="s">
        <v>677</v>
      </c>
      <c r="D48" s="9" t="s">
        <v>142</v>
      </c>
      <c r="E48" s="9" t="s">
        <v>143</v>
      </c>
      <c r="F48" s="9"/>
      <c r="G48" s="6" t="s">
        <v>1</v>
      </c>
      <c r="H48" s="12" t="str">
        <f t="shared" si="2"/>
        <v>MM6099 Final Defense</v>
      </c>
      <c r="I48" s="9"/>
      <c r="J48" s="9"/>
      <c r="K48" s="9"/>
      <c r="L48" s="6">
        <v>2</v>
      </c>
      <c r="M48" s="6">
        <v>4</v>
      </c>
      <c r="N48" s="9"/>
      <c r="O48" s="9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</row>
    <row r="49" spans="1:45" ht="41.4" hidden="1">
      <c r="A49" s="22">
        <v>30</v>
      </c>
      <c r="B49" s="6" t="s">
        <v>15</v>
      </c>
      <c r="C49" s="6" t="s">
        <v>414</v>
      </c>
      <c r="D49" s="9" t="s">
        <v>139</v>
      </c>
      <c r="E49" s="9" t="s">
        <v>144</v>
      </c>
      <c r="F49" s="9" t="s">
        <v>141</v>
      </c>
      <c r="G49" s="6" t="s">
        <v>1</v>
      </c>
      <c r="H49" s="12" t="str">
        <f t="shared" si="2"/>
        <v>MM6097/ 
MM6098 Project Thesis /
Research Thesis ()</v>
      </c>
      <c r="I49" s="9"/>
      <c r="J49" s="9"/>
      <c r="K49" s="9"/>
      <c r="L49" s="6">
        <v>9</v>
      </c>
      <c r="M49" s="6"/>
      <c r="N49" s="9"/>
      <c r="O49" s="9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</row>
    <row r="50" spans="1:45" ht="14.4" hidden="1">
      <c r="A50" s="6">
        <v>31</v>
      </c>
      <c r="B50" s="6" t="s">
        <v>15</v>
      </c>
      <c r="C50" s="6" t="s">
        <v>414</v>
      </c>
      <c r="D50" s="9" t="s">
        <v>142</v>
      </c>
      <c r="E50" s="9" t="s">
        <v>143</v>
      </c>
      <c r="F50" s="9"/>
      <c r="G50" s="6" t="s">
        <v>1</v>
      </c>
      <c r="H50" s="12" t="str">
        <f t="shared" si="2"/>
        <v>MM6099 Final Defense</v>
      </c>
      <c r="I50" s="9"/>
      <c r="J50" s="9"/>
      <c r="K50" s="9"/>
      <c r="L50" s="6">
        <v>2</v>
      </c>
      <c r="M50" s="6"/>
      <c r="N50" s="9"/>
      <c r="O50" s="9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</row>
    <row r="51" spans="1:45" ht="14.4" hidden="1">
      <c r="A51" s="22">
        <v>32</v>
      </c>
      <c r="B51" s="6" t="s">
        <v>145</v>
      </c>
      <c r="C51" s="6" t="s">
        <v>677</v>
      </c>
      <c r="D51" s="9" t="s">
        <v>146</v>
      </c>
      <c r="E51" s="9" t="s">
        <v>147</v>
      </c>
      <c r="F51" s="9" t="s">
        <v>148</v>
      </c>
      <c r="G51" s="26" t="s">
        <v>18</v>
      </c>
      <c r="H51" s="12" t="str">
        <f t="shared" si="2"/>
        <v>MB2001 Financial Accounting</v>
      </c>
      <c r="I51" s="9" t="s">
        <v>149</v>
      </c>
      <c r="J51" s="9" t="s">
        <v>150</v>
      </c>
      <c r="K51" s="9" t="s">
        <v>151</v>
      </c>
      <c r="L51" s="6">
        <v>4</v>
      </c>
      <c r="M51" s="6">
        <v>4</v>
      </c>
      <c r="N51" s="9" t="s">
        <v>152</v>
      </c>
      <c r="O51" s="9" t="s">
        <v>153</v>
      </c>
      <c r="P51" s="10">
        <v>46202</v>
      </c>
      <c r="Q51" s="10">
        <v>46204</v>
      </c>
      <c r="R51" s="10">
        <v>46209</v>
      </c>
      <c r="S51" s="10">
        <v>46211</v>
      </c>
      <c r="T51" s="10">
        <v>46216</v>
      </c>
      <c r="U51" s="10">
        <v>46218</v>
      </c>
      <c r="V51" s="10">
        <v>46223</v>
      </c>
      <c r="W51" s="10">
        <v>46225</v>
      </c>
      <c r="X51" s="10">
        <v>46225</v>
      </c>
      <c r="Y51" s="10">
        <v>46230</v>
      </c>
      <c r="Z51" s="10">
        <v>46232</v>
      </c>
      <c r="AA51" s="10">
        <v>46237</v>
      </c>
      <c r="AB51" s="10">
        <v>46239</v>
      </c>
      <c r="AC51" s="10">
        <v>46244</v>
      </c>
      <c r="AD51" s="10">
        <v>46246</v>
      </c>
      <c r="AE51" s="10">
        <v>46253</v>
      </c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</row>
    <row r="52" spans="1:45" ht="14.4" hidden="1">
      <c r="A52" s="22">
        <v>32</v>
      </c>
      <c r="B52" s="6" t="s">
        <v>145</v>
      </c>
      <c r="C52" s="6" t="s">
        <v>677</v>
      </c>
      <c r="D52" s="9" t="s">
        <v>146</v>
      </c>
      <c r="E52" s="9" t="s">
        <v>147</v>
      </c>
      <c r="F52" s="9" t="s">
        <v>148</v>
      </c>
      <c r="G52" s="26" t="s">
        <v>18</v>
      </c>
      <c r="H52" s="12" t="str">
        <f t="shared" si="2"/>
        <v>MB2001 Financial Accounting</v>
      </c>
      <c r="I52" s="9" t="s">
        <v>149</v>
      </c>
      <c r="J52" s="9" t="s">
        <v>150</v>
      </c>
      <c r="K52" s="9" t="s">
        <v>151</v>
      </c>
      <c r="L52" s="6">
        <v>4</v>
      </c>
      <c r="M52" s="6">
        <v>4</v>
      </c>
      <c r="N52" s="9" t="s">
        <v>152</v>
      </c>
      <c r="O52" s="9" t="s">
        <v>154</v>
      </c>
      <c r="P52" s="10">
        <v>46202</v>
      </c>
      <c r="Q52" s="10">
        <v>46204</v>
      </c>
      <c r="R52" s="10">
        <v>46209</v>
      </c>
      <c r="S52" s="10">
        <v>46211</v>
      </c>
      <c r="T52" s="10">
        <v>46216</v>
      </c>
      <c r="U52" s="10">
        <v>46218</v>
      </c>
      <c r="V52" s="10">
        <v>46223</v>
      </c>
      <c r="W52" s="10">
        <v>46225</v>
      </c>
      <c r="X52" s="10">
        <v>46225</v>
      </c>
      <c r="Y52" s="10">
        <v>46230</v>
      </c>
      <c r="Z52" s="10">
        <v>46232</v>
      </c>
      <c r="AA52" s="10">
        <v>46237</v>
      </c>
      <c r="AB52" s="10">
        <v>46239</v>
      </c>
      <c r="AC52" s="10">
        <v>46244</v>
      </c>
      <c r="AD52" s="10">
        <v>46246</v>
      </c>
      <c r="AE52" s="10">
        <v>46253</v>
      </c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</row>
    <row r="53" spans="1:45" ht="14.4" hidden="1">
      <c r="A53" s="6">
        <v>33</v>
      </c>
      <c r="B53" s="6" t="s">
        <v>145</v>
      </c>
      <c r="C53" s="6" t="s">
        <v>677</v>
      </c>
      <c r="D53" s="9" t="s">
        <v>146</v>
      </c>
      <c r="E53" s="9" t="s">
        <v>147</v>
      </c>
      <c r="F53" s="9" t="s">
        <v>155</v>
      </c>
      <c r="G53" s="27" t="s">
        <v>18</v>
      </c>
      <c r="H53" s="12" t="str">
        <f t="shared" si="2"/>
        <v>MB2001 Financial Accounting</v>
      </c>
      <c r="I53" s="9" t="s">
        <v>156</v>
      </c>
      <c r="J53" s="9" t="s">
        <v>150</v>
      </c>
      <c r="K53" s="9" t="s">
        <v>151</v>
      </c>
      <c r="L53" s="6">
        <v>4</v>
      </c>
      <c r="M53" s="6">
        <v>4</v>
      </c>
      <c r="N53" s="9" t="s">
        <v>152</v>
      </c>
      <c r="O53" s="9" t="s">
        <v>157</v>
      </c>
      <c r="P53" s="10">
        <v>46202</v>
      </c>
      <c r="Q53" s="10">
        <v>46204</v>
      </c>
      <c r="R53" s="10">
        <v>46209</v>
      </c>
      <c r="S53" s="10">
        <v>46211</v>
      </c>
      <c r="T53" s="10">
        <v>46216</v>
      </c>
      <c r="U53" s="10">
        <v>46218</v>
      </c>
      <c r="V53" s="10">
        <v>46223</v>
      </c>
      <c r="W53" s="10">
        <v>46225</v>
      </c>
      <c r="X53" s="10">
        <v>46225</v>
      </c>
      <c r="Y53" s="10">
        <v>46230</v>
      </c>
      <c r="Z53" s="10">
        <v>46232</v>
      </c>
      <c r="AA53" s="10">
        <v>46237</v>
      </c>
      <c r="AB53" s="10">
        <v>46239</v>
      </c>
      <c r="AC53" s="10">
        <v>46244</v>
      </c>
      <c r="AD53" s="10">
        <v>46246</v>
      </c>
      <c r="AE53" s="10">
        <v>46253</v>
      </c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</row>
    <row r="54" spans="1:45" ht="14.4" hidden="1">
      <c r="A54" s="6">
        <v>33</v>
      </c>
      <c r="B54" s="6" t="s">
        <v>145</v>
      </c>
      <c r="C54" s="6" t="s">
        <v>677</v>
      </c>
      <c r="D54" s="9" t="s">
        <v>146</v>
      </c>
      <c r="E54" s="9" t="s">
        <v>147</v>
      </c>
      <c r="F54" s="9" t="s">
        <v>155</v>
      </c>
      <c r="G54" s="27" t="s">
        <v>18</v>
      </c>
      <c r="H54" s="12" t="str">
        <f t="shared" si="2"/>
        <v>MB2001 Financial Accounting</v>
      </c>
      <c r="I54" s="9" t="s">
        <v>156</v>
      </c>
      <c r="J54" s="9" t="s">
        <v>150</v>
      </c>
      <c r="K54" s="9" t="s">
        <v>151</v>
      </c>
      <c r="L54" s="6">
        <v>4</v>
      </c>
      <c r="M54" s="6">
        <v>4</v>
      </c>
      <c r="N54" s="9" t="s">
        <v>152</v>
      </c>
      <c r="O54" s="9" t="s">
        <v>158</v>
      </c>
      <c r="P54" s="10">
        <v>46202</v>
      </c>
      <c r="Q54" s="10">
        <v>46204</v>
      </c>
      <c r="R54" s="10">
        <v>46209</v>
      </c>
      <c r="S54" s="10">
        <v>46211</v>
      </c>
      <c r="T54" s="10">
        <v>46216</v>
      </c>
      <c r="U54" s="10">
        <v>46218</v>
      </c>
      <c r="V54" s="10">
        <v>46223</v>
      </c>
      <c r="W54" s="10">
        <v>46225</v>
      </c>
      <c r="X54" s="10">
        <v>46225</v>
      </c>
      <c r="Y54" s="10">
        <v>46230</v>
      </c>
      <c r="Z54" s="10">
        <v>46232</v>
      </c>
      <c r="AA54" s="10">
        <v>46237</v>
      </c>
      <c r="AB54" s="10">
        <v>46239</v>
      </c>
      <c r="AC54" s="10">
        <v>46244</v>
      </c>
      <c r="AD54" s="10">
        <v>46246</v>
      </c>
      <c r="AE54" s="10">
        <v>46253</v>
      </c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</row>
    <row r="55" spans="1:45" ht="14.4" hidden="1">
      <c r="A55" s="22">
        <v>34</v>
      </c>
      <c r="B55" s="6" t="s">
        <v>145</v>
      </c>
      <c r="C55" s="6" t="s">
        <v>677</v>
      </c>
      <c r="D55" s="9" t="s">
        <v>146</v>
      </c>
      <c r="E55" s="9" t="s">
        <v>147</v>
      </c>
      <c r="F55" s="9" t="s">
        <v>159</v>
      </c>
      <c r="G55" s="27" t="s">
        <v>18</v>
      </c>
      <c r="H55" s="12" t="str">
        <f t="shared" si="2"/>
        <v>MB2001 Financial Accounting</v>
      </c>
      <c r="I55" s="9" t="s">
        <v>160</v>
      </c>
      <c r="J55" s="9" t="s">
        <v>150</v>
      </c>
      <c r="K55" s="9" t="s">
        <v>151</v>
      </c>
      <c r="L55" s="6">
        <v>4</v>
      </c>
      <c r="M55" s="6">
        <v>4</v>
      </c>
      <c r="N55" s="9" t="s">
        <v>152</v>
      </c>
      <c r="O55" s="9" t="s">
        <v>161</v>
      </c>
      <c r="P55" s="10">
        <v>46202</v>
      </c>
      <c r="Q55" s="10">
        <v>46204</v>
      </c>
      <c r="R55" s="10">
        <v>46209</v>
      </c>
      <c r="S55" s="10">
        <v>46211</v>
      </c>
      <c r="T55" s="10">
        <v>46216</v>
      </c>
      <c r="U55" s="10">
        <v>46218</v>
      </c>
      <c r="V55" s="10">
        <v>46223</v>
      </c>
      <c r="W55" s="10">
        <v>46225</v>
      </c>
      <c r="X55" s="10">
        <v>46225</v>
      </c>
      <c r="Y55" s="10">
        <v>46230</v>
      </c>
      <c r="Z55" s="10">
        <v>46232</v>
      </c>
      <c r="AA55" s="10">
        <v>46237</v>
      </c>
      <c r="AB55" s="10">
        <v>46239</v>
      </c>
      <c r="AC55" s="10">
        <v>46244</v>
      </c>
      <c r="AD55" s="10">
        <v>46246</v>
      </c>
      <c r="AE55" s="10">
        <v>46253</v>
      </c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</row>
    <row r="56" spans="1:45" ht="14.4" hidden="1">
      <c r="A56" s="22">
        <v>34</v>
      </c>
      <c r="B56" s="6" t="s">
        <v>145</v>
      </c>
      <c r="C56" s="6" t="s">
        <v>677</v>
      </c>
      <c r="D56" s="9" t="s">
        <v>146</v>
      </c>
      <c r="E56" s="9" t="s">
        <v>147</v>
      </c>
      <c r="F56" s="9" t="s">
        <v>159</v>
      </c>
      <c r="G56" s="27" t="s">
        <v>18</v>
      </c>
      <c r="H56" s="12" t="str">
        <f t="shared" si="2"/>
        <v>MB2001 Financial Accounting</v>
      </c>
      <c r="I56" s="9" t="s">
        <v>160</v>
      </c>
      <c r="J56" s="9" t="s">
        <v>150</v>
      </c>
      <c r="K56" s="9" t="s">
        <v>151</v>
      </c>
      <c r="L56" s="6">
        <v>4</v>
      </c>
      <c r="M56" s="6">
        <v>4</v>
      </c>
      <c r="N56" s="9" t="s">
        <v>152</v>
      </c>
      <c r="O56" s="9" t="s">
        <v>162</v>
      </c>
      <c r="P56" s="10">
        <v>46202</v>
      </c>
      <c r="Q56" s="10">
        <v>46204</v>
      </c>
      <c r="R56" s="10">
        <v>46209</v>
      </c>
      <c r="S56" s="10">
        <v>46211</v>
      </c>
      <c r="T56" s="10">
        <v>46216</v>
      </c>
      <c r="U56" s="10">
        <v>46218</v>
      </c>
      <c r="V56" s="10">
        <v>46223</v>
      </c>
      <c r="W56" s="10">
        <v>46225</v>
      </c>
      <c r="X56" s="10">
        <v>46225</v>
      </c>
      <c r="Y56" s="10">
        <v>46230</v>
      </c>
      <c r="Z56" s="10">
        <v>46232</v>
      </c>
      <c r="AA56" s="10">
        <v>46237</v>
      </c>
      <c r="AB56" s="10">
        <v>46239</v>
      </c>
      <c r="AC56" s="10">
        <v>46244</v>
      </c>
      <c r="AD56" s="10">
        <v>46246</v>
      </c>
      <c r="AE56" s="10">
        <v>46253</v>
      </c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</row>
    <row r="57" spans="1:45" ht="14.4" hidden="1">
      <c r="A57" s="6">
        <v>35</v>
      </c>
      <c r="B57" s="6" t="s">
        <v>145</v>
      </c>
      <c r="C57" s="6" t="s">
        <v>677</v>
      </c>
      <c r="D57" s="9" t="s">
        <v>146</v>
      </c>
      <c r="E57" s="9" t="s">
        <v>147</v>
      </c>
      <c r="F57" s="9" t="s">
        <v>163</v>
      </c>
      <c r="G57" s="27" t="s">
        <v>18</v>
      </c>
      <c r="H57" s="12" t="str">
        <f t="shared" si="2"/>
        <v>MB2001 Financial Accounting</v>
      </c>
      <c r="I57" s="9" t="s">
        <v>164</v>
      </c>
      <c r="J57" s="9" t="s">
        <v>150</v>
      </c>
      <c r="K57" s="9" t="s">
        <v>151</v>
      </c>
      <c r="L57" s="6">
        <v>4</v>
      </c>
      <c r="M57" s="6">
        <v>4</v>
      </c>
      <c r="N57" s="9" t="s">
        <v>152</v>
      </c>
      <c r="O57" s="9" t="s">
        <v>157</v>
      </c>
      <c r="P57" s="10">
        <v>46202</v>
      </c>
      <c r="Q57" s="10">
        <v>46204</v>
      </c>
      <c r="R57" s="10">
        <v>46209</v>
      </c>
      <c r="S57" s="10">
        <v>46211</v>
      </c>
      <c r="T57" s="10">
        <v>46216</v>
      </c>
      <c r="U57" s="10">
        <v>46218</v>
      </c>
      <c r="V57" s="10">
        <v>46223</v>
      </c>
      <c r="W57" s="10">
        <v>46225</v>
      </c>
      <c r="X57" s="10">
        <v>46225</v>
      </c>
      <c r="Y57" s="10">
        <v>46230</v>
      </c>
      <c r="Z57" s="10">
        <v>46232</v>
      </c>
      <c r="AA57" s="10">
        <v>46237</v>
      </c>
      <c r="AB57" s="10">
        <v>46239</v>
      </c>
      <c r="AC57" s="10">
        <v>46244</v>
      </c>
      <c r="AD57" s="10">
        <v>46246</v>
      </c>
      <c r="AE57" s="10">
        <v>46253</v>
      </c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</row>
    <row r="58" spans="1:45" ht="14.4" hidden="1">
      <c r="A58" s="6">
        <v>35</v>
      </c>
      <c r="B58" s="6" t="s">
        <v>145</v>
      </c>
      <c r="C58" s="6" t="s">
        <v>677</v>
      </c>
      <c r="D58" s="9" t="s">
        <v>146</v>
      </c>
      <c r="E58" s="9" t="s">
        <v>147</v>
      </c>
      <c r="F58" s="9" t="s">
        <v>163</v>
      </c>
      <c r="G58" s="27" t="s">
        <v>18</v>
      </c>
      <c r="H58" s="12" t="str">
        <f t="shared" si="2"/>
        <v>MB2001 Financial Accounting</v>
      </c>
      <c r="I58" s="9" t="s">
        <v>164</v>
      </c>
      <c r="J58" s="9" t="s">
        <v>150</v>
      </c>
      <c r="K58" s="9" t="s">
        <v>151</v>
      </c>
      <c r="L58" s="6">
        <v>4</v>
      </c>
      <c r="M58" s="6">
        <v>4</v>
      </c>
      <c r="N58" s="9" t="s">
        <v>152</v>
      </c>
      <c r="O58" s="9" t="s">
        <v>165</v>
      </c>
      <c r="P58" s="10">
        <v>46202</v>
      </c>
      <c r="Q58" s="10">
        <v>46204</v>
      </c>
      <c r="R58" s="10">
        <v>46209</v>
      </c>
      <c r="S58" s="10">
        <v>46211</v>
      </c>
      <c r="T58" s="10">
        <v>46216</v>
      </c>
      <c r="U58" s="10">
        <v>46218</v>
      </c>
      <c r="V58" s="10">
        <v>46223</v>
      </c>
      <c r="W58" s="10">
        <v>46225</v>
      </c>
      <c r="X58" s="10">
        <v>46225</v>
      </c>
      <c r="Y58" s="10">
        <v>46230</v>
      </c>
      <c r="Z58" s="10">
        <v>46232</v>
      </c>
      <c r="AA58" s="10">
        <v>46237</v>
      </c>
      <c r="AB58" s="10">
        <v>46239</v>
      </c>
      <c r="AC58" s="10">
        <v>46244</v>
      </c>
      <c r="AD58" s="10">
        <v>46246</v>
      </c>
      <c r="AE58" s="10">
        <v>46253</v>
      </c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</row>
    <row r="59" spans="1:45" ht="14.4" hidden="1">
      <c r="A59" s="22">
        <v>36</v>
      </c>
      <c r="B59" s="6" t="s">
        <v>145</v>
      </c>
      <c r="C59" s="6" t="s">
        <v>677</v>
      </c>
      <c r="D59" s="9" t="s">
        <v>146</v>
      </c>
      <c r="E59" s="9" t="s">
        <v>147</v>
      </c>
      <c r="F59" s="9" t="s">
        <v>166</v>
      </c>
      <c r="G59" s="27" t="s">
        <v>18</v>
      </c>
      <c r="H59" s="12" t="str">
        <f t="shared" si="2"/>
        <v>MB2001 Financial Accounting</v>
      </c>
      <c r="I59" s="9" t="s">
        <v>167</v>
      </c>
      <c r="J59" s="9" t="s">
        <v>150</v>
      </c>
      <c r="K59" s="9" t="s">
        <v>151</v>
      </c>
      <c r="L59" s="6">
        <v>4</v>
      </c>
      <c r="M59" s="6">
        <v>4</v>
      </c>
      <c r="N59" s="9" t="s">
        <v>152</v>
      </c>
      <c r="O59" s="9" t="s">
        <v>168</v>
      </c>
      <c r="P59" s="10">
        <v>46202</v>
      </c>
      <c r="Q59" s="10">
        <v>46204</v>
      </c>
      <c r="R59" s="10">
        <v>46209</v>
      </c>
      <c r="S59" s="10">
        <v>46211</v>
      </c>
      <c r="T59" s="10">
        <v>46216</v>
      </c>
      <c r="U59" s="10">
        <v>46218</v>
      </c>
      <c r="V59" s="10">
        <v>46223</v>
      </c>
      <c r="W59" s="10">
        <v>46225</v>
      </c>
      <c r="X59" s="10">
        <v>46225</v>
      </c>
      <c r="Y59" s="10">
        <v>46230</v>
      </c>
      <c r="Z59" s="10">
        <v>46232</v>
      </c>
      <c r="AA59" s="10">
        <v>46237</v>
      </c>
      <c r="AB59" s="10">
        <v>46239</v>
      </c>
      <c r="AC59" s="10">
        <v>46244</v>
      </c>
      <c r="AD59" s="10">
        <v>46246</v>
      </c>
      <c r="AE59" s="10">
        <v>46253</v>
      </c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</row>
    <row r="60" spans="1:45" ht="14.4" hidden="1">
      <c r="A60" s="22">
        <v>36</v>
      </c>
      <c r="B60" s="6" t="s">
        <v>145</v>
      </c>
      <c r="C60" s="6" t="s">
        <v>677</v>
      </c>
      <c r="D60" s="9" t="s">
        <v>146</v>
      </c>
      <c r="E60" s="9" t="s">
        <v>147</v>
      </c>
      <c r="F60" s="9" t="s">
        <v>166</v>
      </c>
      <c r="G60" s="27" t="s">
        <v>18</v>
      </c>
      <c r="H60" s="12" t="str">
        <f t="shared" si="2"/>
        <v>MB2001 Financial Accounting</v>
      </c>
      <c r="I60" s="9" t="s">
        <v>167</v>
      </c>
      <c r="J60" s="9" t="s">
        <v>150</v>
      </c>
      <c r="K60" s="9" t="s">
        <v>151</v>
      </c>
      <c r="L60" s="6">
        <v>4</v>
      </c>
      <c r="M60" s="6">
        <v>4</v>
      </c>
      <c r="N60" s="9" t="s">
        <v>152</v>
      </c>
      <c r="O60" s="9" t="s">
        <v>169</v>
      </c>
      <c r="P60" s="10">
        <v>46202</v>
      </c>
      <c r="Q60" s="10">
        <v>46204</v>
      </c>
      <c r="R60" s="10">
        <v>46209</v>
      </c>
      <c r="S60" s="10">
        <v>46211</v>
      </c>
      <c r="T60" s="10">
        <v>46216</v>
      </c>
      <c r="U60" s="10">
        <v>46218</v>
      </c>
      <c r="V60" s="10">
        <v>46223</v>
      </c>
      <c r="W60" s="10">
        <v>46225</v>
      </c>
      <c r="X60" s="10">
        <v>46225</v>
      </c>
      <c r="Y60" s="10">
        <v>46230</v>
      </c>
      <c r="Z60" s="10">
        <v>46232</v>
      </c>
      <c r="AA60" s="10">
        <v>46237</v>
      </c>
      <c r="AB60" s="10">
        <v>46239</v>
      </c>
      <c r="AC60" s="10">
        <v>46244</v>
      </c>
      <c r="AD60" s="10">
        <v>46246</v>
      </c>
      <c r="AE60" s="10">
        <v>46253</v>
      </c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</row>
    <row r="61" spans="1:45" ht="14.4" hidden="1">
      <c r="A61" s="6">
        <v>37</v>
      </c>
      <c r="B61" s="6" t="s">
        <v>145</v>
      </c>
      <c r="C61" s="6" t="s">
        <v>677</v>
      </c>
      <c r="D61" s="9" t="s">
        <v>146</v>
      </c>
      <c r="E61" s="9" t="s">
        <v>147</v>
      </c>
      <c r="F61" s="9" t="s">
        <v>170</v>
      </c>
      <c r="G61" s="27" t="s">
        <v>18</v>
      </c>
      <c r="H61" s="12" t="str">
        <f t="shared" si="2"/>
        <v>MB2001 Financial Accounting</v>
      </c>
      <c r="I61" s="9" t="s">
        <v>171</v>
      </c>
      <c r="J61" s="9" t="s">
        <v>150</v>
      </c>
      <c r="K61" s="9" t="s">
        <v>172</v>
      </c>
      <c r="L61" s="6">
        <v>4</v>
      </c>
      <c r="M61" s="6">
        <v>4</v>
      </c>
      <c r="N61" s="9" t="s">
        <v>173</v>
      </c>
      <c r="O61" s="9" t="s">
        <v>174</v>
      </c>
      <c r="P61" s="10">
        <v>46202</v>
      </c>
      <c r="Q61" s="10">
        <v>46204</v>
      </c>
      <c r="R61" s="10">
        <v>46209</v>
      </c>
      <c r="S61" s="10">
        <v>46211</v>
      </c>
      <c r="T61" s="10">
        <v>46216</v>
      </c>
      <c r="U61" s="10">
        <v>46218</v>
      </c>
      <c r="V61" s="10">
        <v>46223</v>
      </c>
      <c r="W61" s="10">
        <v>46225</v>
      </c>
      <c r="X61" s="10">
        <v>46225</v>
      </c>
      <c r="Y61" s="10">
        <v>46230</v>
      </c>
      <c r="Z61" s="10">
        <v>46232</v>
      </c>
      <c r="AA61" s="10">
        <v>46237</v>
      </c>
      <c r="AB61" s="10">
        <v>46239</v>
      </c>
      <c r="AC61" s="10">
        <v>46244</v>
      </c>
      <c r="AD61" s="10">
        <v>46246</v>
      </c>
      <c r="AE61" s="10">
        <v>46253</v>
      </c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</row>
    <row r="62" spans="1:45" ht="14.4" hidden="1">
      <c r="A62" s="6">
        <v>37</v>
      </c>
      <c r="B62" s="6" t="s">
        <v>145</v>
      </c>
      <c r="C62" s="6" t="s">
        <v>677</v>
      </c>
      <c r="D62" s="9" t="s">
        <v>146</v>
      </c>
      <c r="E62" s="9" t="s">
        <v>147</v>
      </c>
      <c r="F62" s="9" t="s">
        <v>170</v>
      </c>
      <c r="G62" s="27" t="s">
        <v>18</v>
      </c>
      <c r="H62" s="12" t="str">
        <f t="shared" si="2"/>
        <v>MB2001 Financial Accounting</v>
      </c>
      <c r="I62" s="9" t="s">
        <v>171</v>
      </c>
      <c r="J62" s="9" t="s">
        <v>150</v>
      </c>
      <c r="K62" s="9" t="s">
        <v>172</v>
      </c>
      <c r="L62" s="6">
        <v>4</v>
      </c>
      <c r="M62" s="6">
        <v>4</v>
      </c>
      <c r="N62" s="9" t="s">
        <v>173</v>
      </c>
      <c r="O62" s="9" t="s">
        <v>175</v>
      </c>
      <c r="P62" s="10">
        <v>46202</v>
      </c>
      <c r="Q62" s="10">
        <v>46204</v>
      </c>
      <c r="R62" s="10">
        <v>46209</v>
      </c>
      <c r="S62" s="10">
        <v>46211</v>
      </c>
      <c r="T62" s="10">
        <v>46216</v>
      </c>
      <c r="U62" s="10">
        <v>46218</v>
      </c>
      <c r="V62" s="10">
        <v>46223</v>
      </c>
      <c r="W62" s="10">
        <v>46225</v>
      </c>
      <c r="X62" s="10">
        <v>46225</v>
      </c>
      <c r="Y62" s="10">
        <v>46230</v>
      </c>
      <c r="Z62" s="10">
        <v>46232</v>
      </c>
      <c r="AA62" s="10">
        <v>46237</v>
      </c>
      <c r="AB62" s="10">
        <v>46239</v>
      </c>
      <c r="AC62" s="10">
        <v>46244</v>
      </c>
      <c r="AD62" s="10">
        <v>46246</v>
      </c>
      <c r="AE62" s="10">
        <v>46253</v>
      </c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</row>
    <row r="63" spans="1:45" ht="14.4" hidden="1">
      <c r="A63" s="22">
        <v>38</v>
      </c>
      <c r="B63" s="6" t="s">
        <v>145</v>
      </c>
      <c r="C63" s="6" t="s">
        <v>677</v>
      </c>
      <c r="D63" s="9" t="s">
        <v>146</v>
      </c>
      <c r="E63" s="9" t="s">
        <v>147</v>
      </c>
      <c r="F63" s="9" t="s">
        <v>176</v>
      </c>
      <c r="G63" s="27" t="s">
        <v>18</v>
      </c>
      <c r="H63" s="12" t="str">
        <f t="shared" si="2"/>
        <v>MB2001 Financial Accounting</v>
      </c>
      <c r="I63" s="9" t="s">
        <v>177</v>
      </c>
      <c r="J63" s="9" t="s">
        <v>150</v>
      </c>
      <c r="K63" s="9" t="s">
        <v>172</v>
      </c>
      <c r="L63" s="6">
        <v>4</v>
      </c>
      <c r="M63" s="6">
        <v>4</v>
      </c>
      <c r="N63" s="9" t="s">
        <v>173</v>
      </c>
      <c r="O63" s="9" t="s">
        <v>178</v>
      </c>
      <c r="P63" s="10">
        <v>46202</v>
      </c>
      <c r="Q63" s="10">
        <v>46204</v>
      </c>
      <c r="R63" s="10">
        <v>46209</v>
      </c>
      <c r="S63" s="10">
        <v>46211</v>
      </c>
      <c r="T63" s="10">
        <v>46216</v>
      </c>
      <c r="U63" s="10">
        <v>46218</v>
      </c>
      <c r="V63" s="10">
        <v>46223</v>
      </c>
      <c r="W63" s="10">
        <v>46225</v>
      </c>
      <c r="X63" s="10">
        <v>46225</v>
      </c>
      <c r="Y63" s="10">
        <v>46230</v>
      </c>
      <c r="Z63" s="10">
        <v>46232</v>
      </c>
      <c r="AA63" s="10">
        <v>46237</v>
      </c>
      <c r="AB63" s="10">
        <v>46239</v>
      </c>
      <c r="AC63" s="10">
        <v>46244</v>
      </c>
      <c r="AD63" s="10">
        <v>46246</v>
      </c>
      <c r="AE63" s="10">
        <v>46253</v>
      </c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</row>
    <row r="64" spans="1:45" ht="14.4" hidden="1">
      <c r="A64" s="22">
        <v>38</v>
      </c>
      <c r="B64" s="6" t="s">
        <v>145</v>
      </c>
      <c r="C64" s="6" t="s">
        <v>677</v>
      </c>
      <c r="D64" s="9" t="s">
        <v>146</v>
      </c>
      <c r="E64" s="9" t="s">
        <v>147</v>
      </c>
      <c r="F64" s="9" t="s">
        <v>176</v>
      </c>
      <c r="G64" s="27" t="s">
        <v>18</v>
      </c>
      <c r="H64" s="12" t="str">
        <f t="shared" si="2"/>
        <v>MB2001 Financial Accounting</v>
      </c>
      <c r="I64" s="9" t="s">
        <v>177</v>
      </c>
      <c r="J64" s="9" t="s">
        <v>150</v>
      </c>
      <c r="K64" s="9" t="s">
        <v>172</v>
      </c>
      <c r="L64" s="6">
        <v>4</v>
      </c>
      <c r="M64" s="6">
        <v>4</v>
      </c>
      <c r="N64" s="9" t="s">
        <v>173</v>
      </c>
      <c r="O64" s="9" t="s">
        <v>157</v>
      </c>
      <c r="P64" s="10">
        <v>46202</v>
      </c>
      <c r="Q64" s="10">
        <v>46204</v>
      </c>
      <c r="R64" s="10">
        <v>46209</v>
      </c>
      <c r="S64" s="10">
        <v>46211</v>
      </c>
      <c r="T64" s="10">
        <v>46216</v>
      </c>
      <c r="U64" s="10">
        <v>46218</v>
      </c>
      <c r="V64" s="10">
        <v>46223</v>
      </c>
      <c r="W64" s="10">
        <v>46225</v>
      </c>
      <c r="X64" s="10">
        <v>46225</v>
      </c>
      <c r="Y64" s="10">
        <v>46230</v>
      </c>
      <c r="Z64" s="10">
        <v>46232</v>
      </c>
      <c r="AA64" s="10">
        <v>46237</v>
      </c>
      <c r="AB64" s="10">
        <v>46239</v>
      </c>
      <c r="AC64" s="10">
        <v>46244</v>
      </c>
      <c r="AD64" s="10">
        <v>46246</v>
      </c>
      <c r="AE64" s="10">
        <v>46253</v>
      </c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</row>
    <row r="65" spans="1:45" ht="14.4" hidden="1">
      <c r="A65" s="6">
        <v>39</v>
      </c>
      <c r="B65" s="6" t="s">
        <v>145</v>
      </c>
      <c r="C65" s="6" t="s">
        <v>677</v>
      </c>
      <c r="D65" s="9" t="s">
        <v>146</v>
      </c>
      <c r="E65" s="9" t="s">
        <v>147</v>
      </c>
      <c r="F65" s="9" t="s">
        <v>179</v>
      </c>
      <c r="G65" s="27" t="s">
        <v>18</v>
      </c>
      <c r="H65" s="12" t="str">
        <f t="shared" si="2"/>
        <v>MB2001 Financial Accounting</v>
      </c>
      <c r="I65" s="9" t="s">
        <v>180</v>
      </c>
      <c r="J65" s="9" t="s">
        <v>150</v>
      </c>
      <c r="K65" s="9" t="s">
        <v>172</v>
      </c>
      <c r="L65" s="6">
        <v>4</v>
      </c>
      <c r="M65" s="6">
        <v>4</v>
      </c>
      <c r="N65" s="9" t="s">
        <v>173</v>
      </c>
      <c r="O65" s="9" t="s">
        <v>181</v>
      </c>
      <c r="P65" s="10">
        <v>46202</v>
      </c>
      <c r="Q65" s="10">
        <v>46204</v>
      </c>
      <c r="R65" s="10">
        <v>46209</v>
      </c>
      <c r="S65" s="10">
        <v>46211</v>
      </c>
      <c r="T65" s="10">
        <v>46216</v>
      </c>
      <c r="U65" s="10">
        <v>46218</v>
      </c>
      <c r="V65" s="10">
        <v>46223</v>
      </c>
      <c r="W65" s="10">
        <v>46225</v>
      </c>
      <c r="X65" s="10">
        <v>46225</v>
      </c>
      <c r="Y65" s="10">
        <v>46230</v>
      </c>
      <c r="Z65" s="10">
        <v>46232</v>
      </c>
      <c r="AA65" s="10">
        <v>46237</v>
      </c>
      <c r="AB65" s="10">
        <v>46239</v>
      </c>
      <c r="AC65" s="10">
        <v>46244</v>
      </c>
      <c r="AD65" s="10">
        <v>46246</v>
      </c>
      <c r="AE65" s="10">
        <v>46253</v>
      </c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</row>
    <row r="66" spans="1:45" ht="14.4" hidden="1">
      <c r="A66" s="6">
        <v>39</v>
      </c>
      <c r="B66" s="6" t="s">
        <v>145</v>
      </c>
      <c r="C66" s="6" t="s">
        <v>677</v>
      </c>
      <c r="D66" s="9" t="s">
        <v>146</v>
      </c>
      <c r="E66" s="9" t="s">
        <v>147</v>
      </c>
      <c r="F66" s="9" t="s">
        <v>179</v>
      </c>
      <c r="G66" s="27" t="s">
        <v>18</v>
      </c>
      <c r="H66" s="12" t="str">
        <f t="shared" si="2"/>
        <v>MB2001 Financial Accounting</v>
      </c>
      <c r="I66" s="9" t="s">
        <v>180</v>
      </c>
      <c r="J66" s="9" t="s">
        <v>150</v>
      </c>
      <c r="K66" s="9" t="s">
        <v>172</v>
      </c>
      <c r="L66" s="6">
        <v>4</v>
      </c>
      <c r="M66" s="6">
        <v>4</v>
      </c>
      <c r="N66" s="9" t="s">
        <v>173</v>
      </c>
      <c r="O66" s="9" t="s">
        <v>182</v>
      </c>
      <c r="P66" s="10">
        <v>46202</v>
      </c>
      <c r="Q66" s="10">
        <v>46204</v>
      </c>
      <c r="R66" s="10">
        <v>46209</v>
      </c>
      <c r="S66" s="10">
        <v>46211</v>
      </c>
      <c r="T66" s="10">
        <v>46216</v>
      </c>
      <c r="U66" s="10">
        <v>46218</v>
      </c>
      <c r="V66" s="10">
        <v>46223</v>
      </c>
      <c r="W66" s="10">
        <v>46225</v>
      </c>
      <c r="X66" s="10">
        <v>46225</v>
      </c>
      <c r="Y66" s="10">
        <v>46230</v>
      </c>
      <c r="Z66" s="10">
        <v>46232</v>
      </c>
      <c r="AA66" s="10">
        <v>46237</v>
      </c>
      <c r="AB66" s="10">
        <v>46239</v>
      </c>
      <c r="AC66" s="10">
        <v>46244</v>
      </c>
      <c r="AD66" s="10">
        <v>46246</v>
      </c>
      <c r="AE66" s="10">
        <v>46253</v>
      </c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</row>
    <row r="67" spans="1:45" ht="27.6" hidden="1">
      <c r="A67" s="22">
        <v>40</v>
      </c>
      <c r="B67" s="6" t="s">
        <v>145</v>
      </c>
      <c r="C67" s="6" t="s">
        <v>677</v>
      </c>
      <c r="D67" s="9" t="s">
        <v>183</v>
      </c>
      <c r="E67" s="9" t="s">
        <v>184</v>
      </c>
      <c r="F67" s="9" t="s">
        <v>185</v>
      </c>
      <c r="G67" s="6" t="s">
        <v>186</v>
      </c>
      <c r="H67" s="12" t="str">
        <f t="shared" si="2"/>
        <v>MB2002 Psychology and Organizational Behavior</v>
      </c>
      <c r="I67" s="9" t="s">
        <v>149</v>
      </c>
      <c r="J67" s="9" t="s">
        <v>150</v>
      </c>
      <c r="K67" s="9" t="s">
        <v>172</v>
      </c>
      <c r="L67" s="6">
        <v>3</v>
      </c>
      <c r="M67" s="6">
        <v>3</v>
      </c>
      <c r="N67" s="9" t="s">
        <v>187</v>
      </c>
      <c r="O67" s="9" t="s">
        <v>188</v>
      </c>
      <c r="P67" s="10">
        <v>46202</v>
      </c>
      <c r="Q67" s="10">
        <v>46204</v>
      </c>
      <c r="R67" s="10">
        <v>46209</v>
      </c>
      <c r="S67" s="10">
        <v>46211</v>
      </c>
      <c r="T67" s="10">
        <v>46216</v>
      </c>
      <c r="U67" s="10"/>
      <c r="V67" s="10"/>
      <c r="W67" s="10">
        <v>46218</v>
      </c>
      <c r="X67" s="10">
        <v>46223</v>
      </c>
      <c r="Y67" s="10">
        <v>46225</v>
      </c>
      <c r="Z67" s="10">
        <v>46230</v>
      </c>
      <c r="AA67" s="10">
        <v>46232</v>
      </c>
      <c r="AB67" s="10">
        <v>46237</v>
      </c>
      <c r="AC67" s="10"/>
      <c r="AD67" s="10"/>
      <c r="AE67" s="10">
        <v>46239</v>
      </c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</row>
    <row r="68" spans="1:45" ht="27.6" hidden="1">
      <c r="A68" s="22">
        <v>40</v>
      </c>
      <c r="B68" s="6" t="s">
        <v>145</v>
      </c>
      <c r="C68" s="6" t="s">
        <v>677</v>
      </c>
      <c r="D68" s="9" t="s">
        <v>183</v>
      </c>
      <c r="E68" s="9" t="s">
        <v>184</v>
      </c>
      <c r="F68" s="9" t="s">
        <v>185</v>
      </c>
      <c r="G68" s="6" t="s">
        <v>186</v>
      </c>
      <c r="H68" s="12" t="str">
        <f t="shared" si="2"/>
        <v>MB2002 Psychology and Organizational Behavior</v>
      </c>
      <c r="I68" s="9" t="s">
        <v>149</v>
      </c>
      <c r="J68" s="9" t="s">
        <v>150</v>
      </c>
      <c r="K68" s="9" t="s">
        <v>172</v>
      </c>
      <c r="L68" s="6">
        <v>3</v>
      </c>
      <c r="M68" s="6">
        <v>3</v>
      </c>
      <c r="N68" s="9" t="s">
        <v>187</v>
      </c>
      <c r="O68" s="9" t="s">
        <v>189</v>
      </c>
      <c r="P68" s="10">
        <v>46202</v>
      </c>
      <c r="Q68" s="10">
        <v>46204</v>
      </c>
      <c r="R68" s="10">
        <v>46209</v>
      </c>
      <c r="S68" s="10">
        <v>46211</v>
      </c>
      <c r="T68" s="10">
        <v>46216</v>
      </c>
      <c r="U68" s="10"/>
      <c r="V68" s="10"/>
      <c r="W68" s="10">
        <v>46218</v>
      </c>
      <c r="X68" s="10">
        <v>46223</v>
      </c>
      <c r="Y68" s="10">
        <v>46225</v>
      </c>
      <c r="Z68" s="10">
        <v>46230</v>
      </c>
      <c r="AA68" s="10">
        <v>46232</v>
      </c>
      <c r="AB68" s="10">
        <v>46237</v>
      </c>
      <c r="AC68" s="10"/>
      <c r="AD68" s="10"/>
      <c r="AE68" s="10">
        <v>46239</v>
      </c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</row>
    <row r="69" spans="1:45" ht="27.6" hidden="1">
      <c r="A69" s="22">
        <v>40</v>
      </c>
      <c r="B69" s="6" t="s">
        <v>145</v>
      </c>
      <c r="C69" s="6" t="s">
        <v>677</v>
      </c>
      <c r="D69" s="9" t="s">
        <v>183</v>
      </c>
      <c r="E69" s="9" t="s">
        <v>184</v>
      </c>
      <c r="F69" s="9" t="s">
        <v>185</v>
      </c>
      <c r="G69" s="6" t="s">
        <v>186</v>
      </c>
      <c r="H69" s="12" t="str">
        <f t="shared" si="2"/>
        <v>MB2002 Psychology and Organizational Behavior</v>
      </c>
      <c r="I69" s="9" t="s">
        <v>149</v>
      </c>
      <c r="J69" s="9" t="s">
        <v>150</v>
      </c>
      <c r="K69" s="9" t="s">
        <v>172</v>
      </c>
      <c r="L69" s="6">
        <v>3</v>
      </c>
      <c r="M69" s="6">
        <v>3</v>
      </c>
      <c r="N69" s="9" t="s">
        <v>187</v>
      </c>
      <c r="O69" s="9" t="s">
        <v>190</v>
      </c>
      <c r="P69" s="10">
        <v>46202</v>
      </c>
      <c r="Q69" s="10">
        <v>46204</v>
      </c>
      <c r="R69" s="10">
        <v>46209</v>
      </c>
      <c r="S69" s="10">
        <v>46211</v>
      </c>
      <c r="T69" s="10">
        <v>46216</v>
      </c>
      <c r="U69" s="10"/>
      <c r="V69" s="10"/>
      <c r="W69" s="10">
        <v>46218</v>
      </c>
      <c r="X69" s="10">
        <v>46223</v>
      </c>
      <c r="Y69" s="10">
        <v>46225</v>
      </c>
      <c r="Z69" s="10">
        <v>46230</v>
      </c>
      <c r="AA69" s="10">
        <v>46232</v>
      </c>
      <c r="AB69" s="10">
        <v>46237</v>
      </c>
      <c r="AC69" s="10"/>
      <c r="AD69" s="10"/>
      <c r="AE69" s="10">
        <v>46239</v>
      </c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</row>
    <row r="70" spans="1:45" ht="27.6" hidden="1">
      <c r="A70" s="22">
        <v>40</v>
      </c>
      <c r="B70" s="6" t="s">
        <v>145</v>
      </c>
      <c r="C70" s="6" t="s">
        <v>677</v>
      </c>
      <c r="D70" s="9" t="s">
        <v>183</v>
      </c>
      <c r="E70" s="9" t="s">
        <v>184</v>
      </c>
      <c r="F70" s="9" t="s">
        <v>185</v>
      </c>
      <c r="G70" s="6" t="s">
        <v>186</v>
      </c>
      <c r="H70" s="12" t="str">
        <f t="shared" si="2"/>
        <v>MB2002 Psychology and Organizational Behavior</v>
      </c>
      <c r="I70" s="9" t="s">
        <v>149</v>
      </c>
      <c r="J70" s="9" t="s">
        <v>150</v>
      </c>
      <c r="K70" s="9" t="s">
        <v>172</v>
      </c>
      <c r="L70" s="6">
        <v>3</v>
      </c>
      <c r="M70" s="6">
        <v>3</v>
      </c>
      <c r="N70" s="9" t="s">
        <v>187</v>
      </c>
      <c r="O70" s="9" t="s">
        <v>191</v>
      </c>
      <c r="P70" s="10">
        <v>46202</v>
      </c>
      <c r="Q70" s="10">
        <v>46204</v>
      </c>
      <c r="R70" s="10">
        <v>46209</v>
      </c>
      <c r="S70" s="10">
        <v>46211</v>
      </c>
      <c r="T70" s="10">
        <v>46216</v>
      </c>
      <c r="U70" s="10"/>
      <c r="V70" s="10"/>
      <c r="W70" s="10">
        <v>46218</v>
      </c>
      <c r="X70" s="10">
        <v>46223</v>
      </c>
      <c r="Y70" s="10">
        <v>46225</v>
      </c>
      <c r="Z70" s="10">
        <v>46230</v>
      </c>
      <c r="AA70" s="10">
        <v>46232</v>
      </c>
      <c r="AB70" s="10">
        <v>46237</v>
      </c>
      <c r="AC70" s="10"/>
      <c r="AD70" s="10"/>
      <c r="AE70" s="10">
        <v>46239</v>
      </c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</row>
    <row r="71" spans="1:45" ht="27.6" hidden="1">
      <c r="A71" s="6">
        <v>41</v>
      </c>
      <c r="B71" s="6" t="s">
        <v>145</v>
      </c>
      <c r="C71" s="6" t="s">
        <v>677</v>
      </c>
      <c r="D71" s="9" t="s">
        <v>183</v>
      </c>
      <c r="E71" s="9" t="s">
        <v>184</v>
      </c>
      <c r="F71" s="9" t="s">
        <v>192</v>
      </c>
      <c r="G71" s="6" t="s">
        <v>186</v>
      </c>
      <c r="H71" s="12" t="str">
        <f t="shared" si="2"/>
        <v>MB2002 Psychology and Organizational Behavior</v>
      </c>
      <c r="I71" s="9" t="s">
        <v>156</v>
      </c>
      <c r="J71" s="9" t="s">
        <v>150</v>
      </c>
      <c r="K71" s="9" t="s">
        <v>172</v>
      </c>
      <c r="L71" s="6">
        <v>3</v>
      </c>
      <c r="M71" s="6">
        <v>3</v>
      </c>
      <c r="N71" s="9" t="s">
        <v>187</v>
      </c>
      <c r="O71" s="9" t="s">
        <v>190</v>
      </c>
      <c r="P71" s="10">
        <v>46202</v>
      </c>
      <c r="Q71" s="10">
        <v>46204</v>
      </c>
      <c r="R71" s="10">
        <v>46209</v>
      </c>
      <c r="S71" s="10">
        <v>46211</v>
      </c>
      <c r="T71" s="10">
        <v>46216</v>
      </c>
      <c r="U71" s="10"/>
      <c r="V71" s="10"/>
      <c r="W71" s="10">
        <v>46218</v>
      </c>
      <c r="X71" s="10">
        <v>46223</v>
      </c>
      <c r="Y71" s="10">
        <v>46225</v>
      </c>
      <c r="Z71" s="10">
        <v>46230</v>
      </c>
      <c r="AA71" s="10">
        <v>46232</v>
      </c>
      <c r="AB71" s="10">
        <v>46237</v>
      </c>
      <c r="AC71" s="10"/>
      <c r="AD71" s="10"/>
      <c r="AE71" s="10">
        <v>46239</v>
      </c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</row>
    <row r="72" spans="1:45" ht="27.6" hidden="1">
      <c r="A72" s="6">
        <v>41</v>
      </c>
      <c r="B72" s="6" t="s">
        <v>145</v>
      </c>
      <c r="C72" s="6" t="s">
        <v>677</v>
      </c>
      <c r="D72" s="9" t="s">
        <v>183</v>
      </c>
      <c r="E72" s="9" t="s">
        <v>184</v>
      </c>
      <c r="F72" s="9" t="s">
        <v>192</v>
      </c>
      <c r="G72" s="6" t="s">
        <v>186</v>
      </c>
      <c r="H72" s="12" t="str">
        <f t="shared" si="2"/>
        <v>MB2002 Psychology and Organizational Behavior</v>
      </c>
      <c r="I72" s="9" t="s">
        <v>156</v>
      </c>
      <c r="J72" s="9" t="s">
        <v>150</v>
      </c>
      <c r="K72" s="9" t="s">
        <v>172</v>
      </c>
      <c r="L72" s="6">
        <v>3</v>
      </c>
      <c r="M72" s="6">
        <v>3</v>
      </c>
      <c r="N72" s="9" t="s">
        <v>187</v>
      </c>
      <c r="O72" s="9" t="s">
        <v>193</v>
      </c>
      <c r="P72" s="10">
        <v>46202</v>
      </c>
      <c r="Q72" s="10">
        <v>46204</v>
      </c>
      <c r="R72" s="10">
        <v>46209</v>
      </c>
      <c r="S72" s="10">
        <v>46211</v>
      </c>
      <c r="T72" s="10">
        <v>46216</v>
      </c>
      <c r="U72" s="10"/>
      <c r="V72" s="10"/>
      <c r="W72" s="10">
        <v>46218</v>
      </c>
      <c r="X72" s="10">
        <v>46223</v>
      </c>
      <c r="Y72" s="10">
        <v>46225</v>
      </c>
      <c r="Z72" s="10">
        <v>46230</v>
      </c>
      <c r="AA72" s="10">
        <v>46232</v>
      </c>
      <c r="AB72" s="10">
        <v>46237</v>
      </c>
      <c r="AC72" s="10"/>
      <c r="AD72" s="10"/>
      <c r="AE72" s="10">
        <v>46239</v>
      </c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</row>
    <row r="73" spans="1:45" ht="27.6" hidden="1">
      <c r="A73" s="6">
        <v>41</v>
      </c>
      <c r="B73" s="6" t="s">
        <v>145</v>
      </c>
      <c r="C73" s="6" t="s">
        <v>677</v>
      </c>
      <c r="D73" s="9" t="s">
        <v>183</v>
      </c>
      <c r="E73" s="9" t="s">
        <v>184</v>
      </c>
      <c r="F73" s="9" t="s">
        <v>192</v>
      </c>
      <c r="G73" s="6" t="s">
        <v>186</v>
      </c>
      <c r="H73" s="12" t="str">
        <f t="shared" si="2"/>
        <v>MB2002 Psychology and Organizational Behavior</v>
      </c>
      <c r="I73" s="9" t="s">
        <v>156</v>
      </c>
      <c r="J73" s="9" t="s">
        <v>150</v>
      </c>
      <c r="K73" s="9" t="s">
        <v>172</v>
      </c>
      <c r="L73" s="6">
        <v>3</v>
      </c>
      <c r="M73" s="6">
        <v>3</v>
      </c>
      <c r="N73" s="9" t="s">
        <v>187</v>
      </c>
      <c r="O73" s="9" t="s">
        <v>188</v>
      </c>
      <c r="P73" s="10">
        <v>46202</v>
      </c>
      <c r="Q73" s="10">
        <v>46204</v>
      </c>
      <c r="R73" s="10">
        <v>46209</v>
      </c>
      <c r="S73" s="10">
        <v>46211</v>
      </c>
      <c r="T73" s="10">
        <v>46216</v>
      </c>
      <c r="U73" s="10"/>
      <c r="V73" s="10"/>
      <c r="W73" s="10">
        <v>46218</v>
      </c>
      <c r="X73" s="10">
        <v>46223</v>
      </c>
      <c r="Y73" s="10">
        <v>46225</v>
      </c>
      <c r="Z73" s="10">
        <v>46230</v>
      </c>
      <c r="AA73" s="10">
        <v>46232</v>
      </c>
      <c r="AB73" s="10">
        <v>46237</v>
      </c>
      <c r="AC73" s="10"/>
      <c r="AD73" s="10"/>
      <c r="AE73" s="10">
        <v>46239</v>
      </c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</row>
    <row r="74" spans="1:45" ht="27.6" hidden="1">
      <c r="A74" s="6">
        <v>41</v>
      </c>
      <c r="B74" s="6" t="s">
        <v>145</v>
      </c>
      <c r="C74" s="6" t="s">
        <v>677</v>
      </c>
      <c r="D74" s="9" t="s">
        <v>183</v>
      </c>
      <c r="E74" s="9" t="s">
        <v>184</v>
      </c>
      <c r="F74" s="9" t="s">
        <v>192</v>
      </c>
      <c r="G74" s="6" t="s">
        <v>186</v>
      </c>
      <c r="H74" s="12" t="str">
        <f t="shared" si="2"/>
        <v>MB2002 Psychology and Organizational Behavior</v>
      </c>
      <c r="I74" s="9" t="s">
        <v>156</v>
      </c>
      <c r="J74" s="9" t="s">
        <v>150</v>
      </c>
      <c r="K74" s="9" t="s">
        <v>172</v>
      </c>
      <c r="L74" s="6">
        <v>3</v>
      </c>
      <c r="M74" s="6">
        <v>3</v>
      </c>
      <c r="N74" s="9" t="s">
        <v>187</v>
      </c>
      <c r="O74" s="9" t="s">
        <v>189</v>
      </c>
      <c r="P74" s="10">
        <v>46202</v>
      </c>
      <c r="Q74" s="10">
        <v>46204</v>
      </c>
      <c r="R74" s="10">
        <v>46209</v>
      </c>
      <c r="S74" s="10">
        <v>46211</v>
      </c>
      <c r="T74" s="10">
        <v>46216</v>
      </c>
      <c r="U74" s="10"/>
      <c r="V74" s="10"/>
      <c r="W74" s="10">
        <v>46218</v>
      </c>
      <c r="X74" s="10">
        <v>46223</v>
      </c>
      <c r="Y74" s="10">
        <v>46225</v>
      </c>
      <c r="Z74" s="10">
        <v>46230</v>
      </c>
      <c r="AA74" s="10">
        <v>46232</v>
      </c>
      <c r="AB74" s="10">
        <v>46237</v>
      </c>
      <c r="AC74" s="10"/>
      <c r="AD74" s="10"/>
      <c r="AE74" s="10">
        <v>46239</v>
      </c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</row>
    <row r="75" spans="1:45" ht="27.6" hidden="1">
      <c r="A75" s="22">
        <v>42</v>
      </c>
      <c r="B75" s="6" t="s">
        <v>145</v>
      </c>
      <c r="C75" s="6" t="s">
        <v>677</v>
      </c>
      <c r="D75" s="9" t="s">
        <v>183</v>
      </c>
      <c r="E75" s="9" t="s">
        <v>184</v>
      </c>
      <c r="F75" s="9" t="s">
        <v>194</v>
      </c>
      <c r="G75" s="6" t="s">
        <v>186</v>
      </c>
      <c r="H75" s="12" t="str">
        <f t="shared" si="2"/>
        <v>MB2002 Psychology and Organizational Behavior</v>
      </c>
      <c r="I75" s="9" t="s">
        <v>160</v>
      </c>
      <c r="J75" s="9" t="s">
        <v>150</v>
      </c>
      <c r="K75" s="9" t="s">
        <v>172</v>
      </c>
      <c r="L75" s="6">
        <v>3</v>
      </c>
      <c r="M75" s="6">
        <v>3</v>
      </c>
      <c r="N75" s="9" t="s">
        <v>187</v>
      </c>
      <c r="O75" s="9" t="s">
        <v>195</v>
      </c>
      <c r="P75" s="10">
        <v>46202</v>
      </c>
      <c r="Q75" s="10">
        <v>46204</v>
      </c>
      <c r="R75" s="10">
        <v>46209</v>
      </c>
      <c r="S75" s="10">
        <v>46211</v>
      </c>
      <c r="T75" s="10">
        <v>46216</v>
      </c>
      <c r="U75" s="10"/>
      <c r="V75" s="10"/>
      <c r="W75" s="10">
        <v>46218</v>
      </c>
      <c r="X75" s="10">
        <v>46223</v>
      </c>
      <c r="Y75" s="10">
        <v>46225</v>
      </c>
      <c r="Z75" s="10">
        <v>46230</v>
      </c>
      <c r="AA75" s="10">
        <v>46232</v>
      </c>
      <c r="AB75" s="10">
        <v>46237</v>
      </c>
      <c r="AC75" s="10"/>
      <c r="AD75" s="10"/>
      <c r="AE75" s="10">
        <v>46239</v>
      </c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</row>
    <row r="76" spans="1:45" ht="27.6" hidden="1">
      <c r="A76" s="22">
        <v>42</v>
      </c>
      <c r="B76" s="6" t="s">
        <v>145</v>
      </c>
      <c r="C76" s="6" t="s">
        <v>677</v>
      </c>
      <c r="D76" s="9" t="s">
        <v>183</v>
      </c>
      <c r="E76" s="9" t="s">
        <v>184</v>
      </c>
      <c r="F76" s="9" t="s">
        <v>194</v>
      </c>
      <c r="G76" s="6" t="s">
        <v>186</v>
      </c>
      <c r="H76" s="12" t="str">
        <f t="shared" si="2"/>
        <v>MB2002 Psychology and Organizational Behavior</v>
      </c>
      <c r="I76" s="9" t="s">
        <v>160</v>
      </c>
      <c r="J76" s="9" t="s">
        <v>150</v>
      </c>
      <c r="K76" s="9" t="s">
        <v>172</v>
      </c>
      <c r="L76" s="6">
        <v>3</v>
      </c>
      <c r="M76" s="6">
        <v>3</v>
      </c>
      <c r="N76" s="9" t="s">
        <v>187</v>
      </c>
      <c r="O76" s="9" t="s">
        <v>190</v>
      </c>
      <c r="P76" s="10">
        <v>46202</v>
      </c>
      <c r="Q76" s="10">
        <v>46204</v>
      </c>
      <c r="R76" s="10">
        <v>46209</v>
      </c>
      <c r="S76" s="10">
        <v>46211</v>
      </c>
      <c r="T76" s="10">
        <v>46216</v>
      </c>
      <c r="U76" s="10"/>
      <c r="V76" s="10"/>
      <c r="W76" s="10">
        <v>46218</v>
      </c>
      <c r="X76" s="10">
        <v>46223</v>
      </c>
      <c r="Y76" s="10">
        <v>46225</v>
      </c>
      <c r="Z76" s="10">
        <v>46230</v>
      </c>
      <c r="AA76" s="10">
        <v>46232</v>
      </c>
      <c r="AB76" s="10">
        <v>46237</v>
      </c>
      <c r="AC76" s="10"/>
      <c r="AD76" s="10"/>
      <c r="AE76" s="10">
        <v>46239</v>
      </c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</row>
    <row r="77" spans="1:45" ht="27.6" hidden="1">
      <c r="A77" s="22">
        <v>42</v>
      </c>
      <c r="B77" s="6" t="s">
        <v>145</v>
      </c>
      <c r="C77" s="6" t="s">
        <v>677</v>
      </c>
      <c r="D77" s="9" t="s">
        <v>183</v>
      </c>
      <c r="E77" s="9" t="s">
        <v>184</v>
      </c>
      <c r="F77" s="9" t="s">
        <v>194</v>
      </c>
      <c r="G77" s="6" t="s">
        <v>186</v>
      </c>
      <c r="H77" s="12" t="str">
        <f t="shared" si="2"/>
        <v>MB2002 Psychology and Organizational Behavior</v>
      </c>
      <c r="I77" s="9" t="s">
        <v>160</v>
      </c>
      <c r="J77" s="9" t="s">
        <v>150</v>
      </c>
      <c r="K77" s="9" t="s">
        <v>172</v>
      </c>
      <c r="L77" s="6">
        <v>3</v>
      </c>
      <c r="M77" s="6">
        <v>3</v>
      </c>
      <c r="N77" s="9" t="s">
        <v>187</v>
      </c>
      <c r="O77" s="9" t="s">
        <v>189</v>
      </c>
      <c r="P77" s="10">
        <v>46202</v>
      </c>
      <c r="Q77" s="10">
        <v>46204</v>
      </c>
      <c r="R77" s="10">
        <v>46209</v>
      </c>
      <c r="S77" s="10">
        <v>46211</v>
      </c>
      <c r="T77" s="10">
        <v>46216</v>
      </c>
      <c r="U77" s="10"/>
      <c r="V77" s="10"/>
      <c r="W77" s="10">
        <v>46218</v>
      </c>
      <c r="X77" s="10">
        <v>46223</v>
      </c>
      <c r="Y77" s="10">
        <v>46225</v>
      </c>
      <c r="Z77" s="10">
        <v>46230</v>
      </c>
      <c r="AA77" s="10">
        <v>46232</v>
      </c>
      <c r="AB77" s="10">
        <v>46237</v>
      </c>
      <c r="AC77" s="10"/>
      <c r="AD77" s="10"/>
      <c r="AE77" s="10">
        <v>46239</v>
      </c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</row>
    <row r="78" spans="1:45" ht="27.6" hidden="1">
      <c r="A78" s="22">
        <v>42</v>
      </c>
      <c r="B78" s="6" t="s">
        <v>145</v>
      </c>
      <c r="C78" s="6" t="s">
        <v>677</v>
      </c>
      <c r="D78" s="9" t="s">
        <v>183</v>
      </c>
      <c r="E78" s="9" t="s">
        <v>184</v>
      </c>
      <c r="F78" s="9" t="s">
        <v>194</v>
      </c>
      <c r="G78" s="6" t="s">
        <v>186</v>
      </c>
      <c r="H78" s="12" t="str">
        <f t="shared" si="2"/>
        <v>MB2002 Psychology and Organizational Behavior</v>
      </c>
      <c r="I78" s="9" t="s">
        <v>160</v>
      </c>
      <c r="J78" s="9" t="s">
        <v>150</v>
      </c>
      <c r="K78" s="9" t="s">
        <v>172</v>
      </c>
      <c r="L78" s="6">
        <v>3</v>
      </c>
      <c r="M78" s="6">
        <v>3</v>
      </c>
      <c r="N78" s="9" t="s">
        <v>187</v>
      </c>
      <c r="O78" s="9" t="s">
        <v>188</v>
      </c>
      <c r="P78" s="10">
        <v>46202</v>
      </c>
      <c r="Q78" s="10">
        <v>46204</v>
      </c>
      <c r="R78" s="10">
        <v>46209</v>
      </c>
      <c r="S78" s="10">
        <v>46211</v>
      </c>
      <c r="T78" s="10">
        <v>46216</v>
      </c>
      <c r="U78" s="10"/>
      <c r="V78" s="10"/>
      <c r="W78" s="10">
        <v>46218</v>
      </c>
      <c r="X78" s="10">
        <v>46223</v>
      </c>
      <c r="Y78" s="10">
        <v>46225</v>
      </c>
      <c r="Z78" s="10">
        <v>46230</v>
      </c>
      <c r="AA78" s="10">
        <v>46232</v>
      </c>
      <c r="AB78" s="10">
        <v>46237</v>
      </c>
      <c r="AC78" s="10"/>
      <c r="AD78" s="10"/>
      <c r="AE78" s="10">
        <v>46239</v>
      </c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</row>
    <row r="79" spans="1:45" ht="27.6" hidden="1">
      <c r="A79" s="6">
        <v>43</v>
      </c>
      <c r="B79" s="6" t="s">
        <v>145</v>
      </c>
      <c r="C79" s="6" t="s">
        <v>677</v>
      </c>
      <c r="D79" s="9" t="s">
        <v>183</v>
      </c>
      <c r="E79" s="9" t="s">
        <v>184</v>
      </c>
      <c r="F79" s="9" t="s">
        <v>196</v>
      </c>
      <c r="G79" s="6" t="s">
        <v>186</v>
      </c>
      <c r="H79" s="12" t="str">
        <f t="shared" si="2"/>
        <v>MB2002 Psychology and Organizational Behavior</v>
      </c>
      <c r="I79" s="9" t="s">
        <v>164</v>
      </c>
      <c r="J79" s="9" t="s">
        <v>150</v>
      </c>
      <c r="K79" s="9" t="s">
        <v>172</v>
      </c>
      <c r="L79" s="6">
        <v>3</v>
      </c>
      <c r="M79" s="6">
        <v>3</v>
      </c>
      <c r="N79" s="9" t="s">
        <v>187</v>
      </c>
      <c r="O79" s="9" t="s">
        <v>189</v>
      </c>
      <c r="P79" s="10">
        <v>46202</v>
      </c>
      <c r="Q79" s="10">
        <v>46204</v>
      </c>
      <c r="R79" s="10">
        <v>46209</v>
      </c>
      <c r="S79" s="10">
        <v>46211</v>
      </c>
      <c r="T79" s="10">
        <v>46216</v>
      </c>
      <c r="U79" s="10"/>
      <c r="V79" s="10"/>
      <c r="W79" s="10">
        <v>46218</v>
      </c>
      <c r="X79" s="10">
        <v>46223</v>
      </c>
      <c r="Y79" s="10">
        <v>46225</v>
      </c>
      <c r="Z79" s="10">
        <v>46230</v>
      </c>
      <c r="AA79" s="10">
        <v>46232</v>
      </c>
      <c r="AB79" s="10">
        <v>46237</v>
      </c>
      <c r="AC79" s="10"/>
      <c r="AD79" s="10"/>
      <c r="AE79" s="10">
        <v>46239</v>
      </c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</row>
    <row r="80" spans="1:45" ht="27.6" hidden="1">
      <c r="A80" s="6">
        <v>43</v>
      </c>
      <c r="B80" s="6" t="s">
        <v>145</v>
      </c>
      <c r="C80" s="6" t="s">
        <v>677</v>
      </c>
      <c r="D80" s="9" t="s">
        <v>183</v>
      </c>
      <c r="E80" s="9" t="s">
        <v>184</v>
      </c>
      <c r="F80" s="9" t="s">
        <v>196</v>
      </c>
      <c r="G80" s="6" t="s">
        <v>186</v>
      </c>
      <c r="H80" s="12" t="str">
        <f t="shared" si="2"/>
        <v>MB2002 Psychology and Organizational Behavior</v>
      </c>
      <c r="I80" s="9" t="s">
        <v>164</v>
      </c>
      <c r="J80" s="9" t="s">
        <v>150</v>
      </c>
      <c r="K80" s="9" t="s">
        <v>172</v>
      </c>
      <c r="L80" s="6">
        <v>3</v>
      </c>
      <c r="M80" s="6">
        <v>3</v>
      </c>
      <c r="N80" s="9" t="s">
        <v>187</v>
      </c>
      <c r="O80" s="9" t="s">
        <v>188</v>
      </c>
      <c r="P80" s="10">
        <v>46202</v>
      </c>
      <c r="Q80" s="10">
        <v>46204</v>
      </c>
      <c r="R80" s="10">
        <v>46209</v>
      </c>
      <c r="S80" s="10">
        <v>46211</v>
      </c>
      <c r="T80" s="10">
        <v>46216</v>
      </c>
      <c r="U80" s="10"/>
      <c r="V80" s="10"/>
      <c r="W80" s="10">
        <v>46218</v>
      </c>
      <c r="X80" s="10">
        <v>46223</v>
      </c>
      <c r="Y80" s="10">
        <v>46225</v>
      </c>
      <c r="Z80" s="10">
        <v>46230</v>
      </c>
      <c r="AA80" s="10">
        <v>46232</v>
      </c>
      <c r="AB80" s="10">
        <v>46237</v>
      </c>
      <c r="AC80" s="10"/>
      <c r="AD80" s="10"/>
      <c r="AE80" s="10">
        <v>46239</v>
      </c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</row>
    <row r="81" spans="1:45" ht="27.6" hidden="1">
      <c r="A81" s="6">
        <v>43</v>
      </c>
      <c r="B81" s="6" t="s">
        <v>145</v>
      </c>
      <c r="C81" s="6" t="s">
        <v>677</v>
      </c>
      <c r="D81" s="9" t="s">
        <v>183</v>
      </c>
      <c r="E81" s="9" t="s">
        <v>184</v>
      </c>
      <c r="F81" s="9" t="s">
        <v>196</v>
      </c>
      <c r="G81" s="6" t="s">
        <v>186</v>
      </c>
      <c r="H81" s="12" t="str">
        <f t="shared" si="2"/>
        <v>MB2002 Psychology and Organizational Behavior</v>
      </c>
      <c r="I81" s="9" t="s">
        <v>164</v>
      </c>
      <c r="J81" s="9" t="s">
        <v>150</v>
      </c>
      <c r="K81" s="9" t="s">
        <v>172</v>
      </c>
      <c r="L81" s="6">
        <v>3</v>
      </c>
      <c r="M81" s="6">
        <v>3</v>
      </c>
      <c r="N81" s="9" t="s">
        <v>187</v>
      </c>
      <c r="O81" s="9" t="s">
        <v>190</v>
      </c>
      <c r="P81" s="10">
        <v>46202</v>
      </c>
      <c r="Q81" s="10">
        <v>46204</v>
      </c>
      <c r="R81" s="10">
        <v>46209</v>
      </c>
      <c r="S81" s="10">
        <v>46211</v>
      </c>
      <c r="T81" s="10">
        <v>46216</v>
      </c>
      <c r="U81" s="10"/>
      <c r="V81" s="10"/>
      <c r="W81" s="10">
        <v>46218</v>
      </c>
      <c r="X81" s="10">
        <v>46223</v>
      </c>
      <c r="Y81" s="10">
        <v>46225</v>
      </c>
      <c r="Z81" s="10">
        <v>46230</v>
      </c>
      <c r="AA81" s="10">
        <v>46232</v>
      </c>
      <c r="AB81" s="10">
        <v>46237</v>
      </c>
      <c r="AC81" s="10"/>
      <c r="AD81" s="10"/>
      <c r="AE81" s="10">
        <v>46239</v>
      </c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</row>
    <row r="82" spans="1:45" ht="27.6" hidden="1">
      <c r="A82" s="6">
        <v>43</v>
      </c>
      <c r="B82" s="6" t="s">
        <v>145</v>
      </c>
      <c r="C82" s="6" t="s">
        <v>677</v>
      </c>
      <c r="D82" s="9" t="s">
        <v>183</v>
      </c>
      <c r="E82" s="9" t="s">
        <v>184</v>
      </c>
      <c r="F82" s="9" t="s">
        <v>196</v>
      </c>
      <c r="G82" s="6" t="s">
        <v>186</v>
      </c>
      <c r="H82" s="12" t="str">
        <f t="shared" si="2"/>
        <v>MB2002 Psychology and Organizational Behavior</v>
      </c>
      <c r="I82" s="9" t="s">
        <v>164</v>
      </c>
      <c r="J82" s="9" t="s">
        <v>150</v>
      </c>
      <c r="K82" s="9" t="s">
        <v>172</v>
      </c>
      <c r="L82" s="6">
        <v>3</v>
      </c>
      <c r="M82" s="6">
        <v>3</v>
      </c>
      <c r="N82" s="9" t="s">
        <v>187</v>
      </c>
      <c r="O82" s="9" t="s">
        <v>197</v>
      </c>
      <c r="P82" s="10">
        <v>46202</v>
      </c>
      <c r="Q82" s="10">
        <v>46204</v>
      </c>
      <c r="R82" s="10">
        <v>46209</v>
      </c>
      <c r="S82" s="10">
        <v>46211</v>
      </c>
      <c r="T82" s="10">
        <v>46216</v>
      </c>
      <c r="U82" s="10"/>
      <c r="V82" s="10"/>
      <c r="W82" s="10">
        <v>46218</v>
      </c>
      <c r="X82" s="10">
        <v>46223</v>
      </c>
      <c r="Y82" s="10">
        <v>46225</v>
      </c>
      <c r="Z82" s="10">
        <v>46230</v>
      </c>
      <c r="AA82" s="10">
        <v>46232</v>
      </c>
      <c r="AB82" s="10">
        <v>46237</v>
      </c>
      <c r="AC82" s="10"/>
      <c r="AD82" s="10"/>
      <c r="AE82" s="10">
        <v>46239</v>
      </c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</row>
    <row r="83" spans="1:45" ht="27.6" hidden="1">
      <c r="A83" s="22">
        <v>44</v>
      </c>
      <c r="B83" s="6" t="s">
        <v>145</v>
      </c>
      <c r="C83" s="6" t="s">
        <v>677</v>
      </c>
      <c r="D83" s="9" t="s">
        <v>183</v>
      </c>
      <c r="E83" s="9" t="s">
        <v>184</v>
      </c>
      <c r="F83" s="9" t="s">
        <v>198</v>
      </c>
      <c r="G83" s="6" t="s">
        <v>186</v>
      </c>
      <c r="H83" s="12" t="str">
        <f t="shared" si="2"/>
        <v>MB2002 Psychology and Organizational Behavior</v>
      </c>
      <c r="I83" s="9" t="s">
        <v>167</v>
      </c>
      <c r="J83" s="9" t="s">
        <v>150</v>
      </c>
      <c r="K83" s="9" t="s">
        <v>172</v>
      </c>
      <c r="L83" s="6">
        <v>3</v>
      </c>
      <c r="M83" s="6">
        <v>3</v>
      </c>
      <c r="N83" s="9" t="s">
        <v>187</v>
      </c>
      <c r="O83" s="9" t="s">
        <v>199</v>
      </c>
      <c r="P83" s="10">
        <v>46202</v>
      </c>
      <c r="Q83" s="10">
        <v>46204</v>
      </c>
      <c r="R83" s="10">
        <v>46209</v>
      </c>
      <c r="S83" s="10">
        <v>46211</v>
      </c>
      <c r="T83" s="10">
        <v>46216</v>
      </c>
      <c r="U83" s="10"/>
      <c r="V83" s="10"/>
      <c r="W83" s="10">
        <v>46218</v>
      </c>
      <c r="X83" s="10">
        <v>46223</v>
      </c>
      <c r="Y83" s="10">
        <v>46225</v>
      </c>
      <c r="Z83" s="10">
        <v>46230</v>
      </c>
      <c r="AA83" s="10">
        <v>46232</v>
      </c>
      <c r="AB83" s="10">
        <v>46237</v>
      </c>
      <c r="AC83" s="10"/>
      <c r="AD83" s="10"/>
      <c r="AE83" s="10">
        <v>46239</v>
      </c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</row>
    <row r="84" spans="1:45" ht="27.6" hidden="1">
      <c r="A84" s="22">
        <v>44</v>
      </c>
      <c r="B84" s="6" t="s">
        <v>145</v>
      </c>
      <c r="C84" s="6" t="s">
        <v>677</v>
      </c>
      <c r="D84" s="9" t="s">
        <v>183</v>
      </c>
      <c r="E84" s="9" t="s">
        <v>184</v>
      </c>
      <c r="F84" s="9" t="s">
        <v>198</v>
      </c>
      <c r="G84" s="6" t="s">
        <v>186</v>
      </c>
      <c r="H84" s="12" t="str">
        <f t="shared" si="2"/>
        <v>MB2002 Psychology and Organizational Behavior</v>
      </c>
      <c r="I84" s="9" t="s">
        <v>167</v>
      </c>
      <c r="J84" s="9" t="s">
        <v>150</v>
      </c>
      <c r="K84" s="9" t="s">
        <v>172</v>
      </c>
      <c r="L84" s="6">
        <v>3</v>
      </c>
      <c r="M84" s="6">
        <v>3</v>
      </c>
      <c r="N84" s="9" t="s">
        <v>187</v>
      </c>
      <c r="O84" s="9" t="s">
        <v>200</v>
      </c>
      <c r="P84" s="10">
        <v>46202</v>
      </c>
      <c r="Q84" s="10">
        <v>46204</v>
      </c>
      <c r="R84" s="10">
        <v>46209</v>
      </c>
      <c r="S84" s="10">
        <v>46211</v>
      </c>
      <c r="T84" s="10">
        <v>46216</v>
      </c>
      <c r="U84" s="10"/>
      <c r="V84" s="10"/>
      <c r="W84" s="10">
        <v>46218</v>
      </c>
      <c r="X84" s="10">
        <v>46223</v>
      </c>
      <c r="Y84" s="10">
        <v>46225</v>
      </c>
      <c r="Z84" s="10">
        <v>46230</v>
      </c>
      <c r="AA84" s="10">
        <v>46232</v>
      </c>
      <c r="AB84" s="10">
        <v>46237</v>
      </c>
      <c r="AC84" s="10"/>
      <c r="AD84" s="10"/>
      <c r="AE84" s="10">
        <v>46239</v>
      </c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</row>
    <row r="85" spans="1:45" ht="27.6" hidden="1">
      <c r="A85" s="22">
        <v>44</v>
      </c>
      <c r="B85" s="6" t="s">
        <v>145</v>
      </c>
      <c r="C85" s="6" t="s">
        <v>677</v>
      </c>
      <c r="D85" s="9" t="s">
        <v>183</v>
      </c>
      <c r="E85" s="9" t="s">
        <v>184</v>
      </c>
      <c r="F85" s="9" t="s">
        <v>198</v>
      </c>
      <c r="G85" s="6" t="s">
        <v>186</v>
      </c>
      <c r="H85" s="12" t="str">
        <f t="shared" si="2"/>
        <v>MB2002 Psychology and Organizational Behavior</v>
      </c>
      <c r="I85" s="9" t="s">
        <v>167</v>
      </c>
      <c r="J85" s="9" t="s">
        <v>150</v>
      </c>
      <c r="K85" s="9" t="s">
        <v>172</v>
      </c>
      <c r="L85" s="6">
        <v>3</v>
      </c>
      <c r="M85" s="6">
        <v>3</v>
      </c>
      <c r="N85" s="9" t="s">
        <v>187</v>
      </c>
      <c r="O85" s="9" t="s">
        <v>201</v>
      </c>
      <c r="P85" s="10">
        <v>46202</v>
      </c>
      <c r="Q85" s="10">
        <v>46204</v>
      </c>
      <c r="R85" s="10">
        <v>46209</v>
      </c>
      <c r="S85" s="10">
        <v>46211</v>
      </c>
      <c r="T85" s="10">
        <v>46216</v>
      </c>
      <c r="U85" s="10"/>
      <c r="V85" s="10"/>
      <c r="W85" s="10">
        <v>46218</v>
      </c>
      <c r="X85" s="10">
        <v>46223</v>
      </c>
      <c r="Y85" s="10">
        <v>46225</v>
      </c>
      <c r="Z85" s="10">
        <v>46230</v>
      </c>
      <c r="AA85" s="10">
        <v>46232</v>
      </c>
      <c r="AB85" s="10">
        <v>46237</v>
      </c>
      <c r="AC85" s="10"/>
      <c r="AD85" s="10"/>
      <c r="AE85" s="10">
        <v>46239</v>
      </c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</row>
    <row r="86" spans="1:45" ht="27.6" hidden="1">
      <c r="A86" s="22">
        <v>44</v>
      </c>
      <c r="B86" s="6" t="s">
        <v>145</v>
      </c>
      <c r="C86" s="6" t="s">
        <v>677</v>
      </c>
      <c r="D86" s="9" t="s">
        <v>183</v>
      </c>
      <c r="E86" s="9" t="s">
        <v>184</v>
      </c>
      <c r="F86" s="9" t="s">
        <v>198</v>
      </c>
      <c r="G86" s="6" t="s">
        <v>186</v>
      </c>
      <c r="H86" s="12" t="str">
        <f t="shared" si="2"/>
        <v>MB2002 Psychology and Organizational Behavior</v>
      </c>
      <c r="I86" s="9" t="s">
        <v>167</v>
      </c>
      <c r="J86" s="9" t="s">
        <v>150</v>
      </c>
      <c r="K86" s="9" t="s">
        <v>172</v>
      </c>
      <c r="L86" s="6">
        <v>3</v>
      </c>
      <c r="M86" s="6">
        <v>3</v>
      </c>
      <c r="N86" s="9" t="s">
        <v>187</v>
      </c>
      <c r="O86" s="9" t="s">
        <v>202</v>
      </c>
      <c r="P86" s="10">
        <v>46202</v>
      </c>
      <c r="Q86" s="10">
        <v>46204</v>
      </c>
      <c r="R86" s="10">
        <v>46209</v>
      </c>
      <c r="S86" s="10">
        <v>46211</v>
      </c>
      <c r="T86" s="10">
        <v>46216</v>
      </c>
      <c r="U86" s="10"/>
      <c r="V86" s="10"/>
      <c r="W86" s="10">
        <v>46218</v>
      </c>
      <c r="X86" s="10">
        <v>46223</v>
      </c>
      <c r="Y86" s="10">
        <v>46225</v>
      </c>
      <c r="Z86" s="10">
        <v>46230</v>
      </c>
      <c r="AA86" s="10">
        <v>46232</v>
      </c>
      <c r="AB86" s="10">
        <v>46237</v>
      </c>
      <c r="AC86" s="10"/>
      <c r="AD86" s="10"/>
      <c r="AE86" s="10">
        <v>46239</v>
      </c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</row>
    <row r="87" spans="1:45" ht="27.6" hidden="1">
      <c r="A87" s="6">
        <v>45</v>
      </c>
      <c r="B87" s="6" t="s">
        <v>145</v>
      </c>
      <c r="C87" s="6" t="s">
        <v>677</v>
      </c>
      <c r="D87" s="9" t="s">
        <v>183</v>
      </c>
      <c r="E87" s="9" t="s">
        <v>184</v>
      </c>
      <c r="F87" s="9" t="s">
        <v>203</v>
      </c>
      <c r="G87" s="6" t="s">
        <v>186</v>
      </c>
      <c r="H87" s="12" t="str">
        <f t="shared" si="2"/>
        <v>MB2002 Psychology and Organizational Behavior</v>
      </c>
      <c r="I87" s="9" t="s">
        <v>171</v>
      </c>
      <c r="J87" s="9" t="s">
        <v>150</v>
      </c>
      <c r="K87" s="9" t="s">
        <v>151</v>
      </c>
      <c r="L87" s="6">
        <v>3</v>
      </c>
      <c r="M87" s="6">
        <v>3</v>
      </c>
      <c r="N87" s="9" t="s">
        <v>187</v>
      </c>
      <c r="O87" s="9" t="s">
        <v>204</v>
      </c>
      <c r="P87" s="10">
        <v>46202</v>
      </c>
      <c r="Q87" s="10">
        <v>46204</v>
      </c>
      <c r="R87" s="10">
        <v>46209</v>
      </c>
      <c r="S87" s="10">
        <v>46211</v>
      </c>
      <c r="T87" s="10">
        <v>46216</v>
      </c>
      <c r="U87" s="10"/>
      <c r="V87" s="10"/>
      <c r="W87" s="10">
        <v>46218</v>
      </c>
      <c r="X87" s="10">
        <v>46223</v>
      </c>
      <c r="Y87" s="10">
        <v>46225</v>
      </c>
      <c r="Z87" s="10">
        <v>46230</v>
      </c>
      <c r="AA87" s="10">
        <v>46232</v>
      </c>
      <c r="AB87" s="10">
        <v>46237</v>
      </c>
      <c r="AC87" s="10"/>
      <c r="AD87" s="10"/>
      <c r="AE87" s="10">
        <v>46239</v>
      </c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</row>
    <row r="88" spans="1:45" ht="27.6" hidden="1">
      <c r="A88" s="6">
        <v>45</v>
      </c>
      <c r="B88" s="6" t="s">
        <v>145</v>
      </c>
      <c r="C88" s="6" t="s">
        <v>677</v>
      </c>
      <c r="D88" s="9" t="s">
        <v>183</v>
      </c>
      <c r="E88" s="9" t="s">
        <v>184</v>
      </c>
      <c r="F88" s="9" t="s">
        <v>203</v>
      </c>
      <c r="G88" s="6" t="s">
        <v>186</v>
      </c>
      <c r="H88" s="12" t="str">
        <f t="shared" si="2"/>
        <v>MB2002 Psychology and Organizational Behavior</v>
      </c>
      <c r="I88" s="9" t="s">
        <v>171</v>
      </c>
      <c r="J88" s="9" t="s">
        <v>150</v>
      </c>
      <c r="K88" s="9" t="s">
        <v>151</v>
      </c>
      <c r="L88" s="6">
        <v>3</v>
      </c>
      <c r="M88" s="6">
        <v>3</v>
      </c>
      <c r="N88" s="9" t="s">
        <v>187</v>
      </c>
      <c r="O88" s="9" t="s">
        <v>190</v>
      </c>
      <c r="P88" s="10">
        <v>46202</v>
      </c>
      <c r="Q88" s="10">
        <v>46204</v>
      </c>
      <c r="R88" s="10">
        <v>46209</v>
      </c>
      <c r="S88" s="10">
        <v>46211</v>
      </c>
      <c r="T88" s="10">
        <v>46216</v>
      </c>
      <c r="U88" s="10"/>
      <c r="V88" s="10"/>
      <c r="W88" s="10">
        <v>46218</v>
      </c>
      <c r="X88" s="10">
        <v>46223</v>
      </c>
      <c r="Y88" s="10">
        <v>46225</v>
      </c>
      <c r="Z88" s="10">
        <v>46230</v>
      </c>
      <c r="AA88" s="10">
        <v>46232</v>
      </c>
      <c r="AB88" s="10">
        <v>46237</v>
      </c>
      <c r="AC88" s="10"/>
      <c r="AD88" s="10"/>
      <c r="AE88" s="10">
        <v>46239</v>
      </c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</row>
    <row r="89" spans="1:45" ht="27.6" hidden="1">
      <c r="A89" s="6">
        <v>45</v>
      </c>
      <c r="B89" s="6" t="s">
        <v>145</v>
      </c>
      <c r="C89" s="6" t="s">
        <v>677</v>
      </c>
      <c r="D89" s="9" t="s">
        <v>183</v>
      </c>
      <c r="E89" s="9" t="s">
        <v>184</v>
      </c>
      <c r="F89" s="9" t="s">
        <v>203</v>
      </c>
      <c r="G89" s="6" t="s">
        <v>186</v>
      </c>
      <c r="H89" s="12" t="str">
        <f t="shared" si="2"/>
        <v>MB2002 Psychology and Organizational Behavior</v>
      </c>
      <c r="I89" s="9" t="s">
        <v>171</v>
      </c>
      <c r="J89" s="9" t="s">
        <v>150</v>
      </c>
      <c r="K89" s="9" t="s">
        <v>151</v>
      </c>
      <c r="L89" s="6">
        <v>3</v>
      </c>
      <c r="M89" s="6">
        <v>3</v>
      </c>
      <c r="N89" s="9" t="s">
        <v>187</v>
      </c>
      <c r="O89" s="9" t="s">
        <v>188</v>
      </c>
      <c r="P89" s="10">
        <v>46202</v>
      </c>
      <c r="Q89" s="10">
        <v>46204</v>
      </c>
      <c r="R89" s="10">
        <v>46209</v>
      </c>
      <c r="S89" s="10">
        <v>46211</v>
      </c>
      <c r="T89" s="10">
        <v>46216</v>
      </c>
      <c r="U89" s="10"/>
      <c r="V89" s="10"/>
      <c r="W89" s="10">
        <v>46218</v>
      </c>
      <c r="X89" s="10">
        <v>46223</v>
      </c>
      <c r="Y89" s="10">
        <v>46225</v>
      </c>
      <c r="Z89" s="10">
        <v>46230</v>
      </c>
      <c r="AA89" s="10">
        <v>46232</v>
      </c>
      <c r="AB89" s="10">
        <v>46237</v>
      </c>
      <c r="AC89" s="10"/>
      <c r="AD89" s="10"/>
      <c r="AE89" s="10">
        <v>46239</v>
      </c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</row>
    <row r="90" spans="1:45" ht="27.6" hidden="1">
      <c r="A90" s="6">
        <v>45</v>
      </c>
      <c r="B90" s="6" t="s">
        <v>145</v>
      </c>
      <c r="C90" s="6" t="s">
        <v>677</v>
      </c>
      <c r="D90" s="9" t="s">
        <v>183</v>
      </c>
      <c r="E90" s="9" t="s">
        <v>184</v>
      </c>
      <c r="F90" s="9" t="s">
        <v>203</v>
      </c>
      <c r="G90" s="6" t="s">
        <v>186</v>
      </c>
      <c r="H90" s="12" t="str">
        <f t="shared" si="2"/>
        <v>MB2002 Psychology and Organizational Behavior</v>
      </c>
      <c r="I90" s="9" t="s">
        <v>171</v>
      </c>
      <c r="J90" s="9" t="s">
        <v>150</v>
      </c>
      <c r="K90" s="9" t="s">
        <v>151</v>
      </c>
      <c r="L90" s="6">
        <v>3</v>
      </c>
      <c r="M90" s="6">
        <v>3</v>
      </c>
      <c r="N90" s="9" t="s">
        <v>187</v>
      </c>
      <c r="O90" s="9" t="s">
        <v>189</v>
      </c>
      <c r="P90" s="10">
        <v>46202</v>
      </c>
      <c r="Q90" s="10">
        <v>46204</v>
      </c>
      <c r="R90" s="10">
        <v>46209</v>
      </c>
      <c r="S90" s="10">
        <v>46211</v>
      </c>
      <c r="T90" s="10">
        <v>46216</v>
      </c>
      <c r="U90" s="10"/>
      <c r="V90" s="10"/>
      <c r="W90" s="10">
        <v>46218</v>
      </c>
      <c r="X90" s="10">
        <v>46223</v>
      </c>
      <c r="Y90" s="10">
        <v>46225</v>
      </c>
      <c r="Z90" s="10">
        <v>46230</v>
      </c>
      <c r="AA90" s="10">
        <v>46232</v>
      </c>
      <c r="AB90" s="10">
        <v>46237</v>
      </c>
      <c r="AC90" s="10"/>
      <c r="AD90" s="10"/>
      <c r="AE90" s="10">
        <v>46239</v>
      </c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</row>
    <row r="91" spans="1:45" ht="27.6" hidden="1">
      <c r="A91" s="22">
        <v>46</v>
      </c>
      <c r="B91" s="6" t="s">
        <v>145</v>
      </c>
      <c r="C91" s="6" t="s">
        <v>677</v>
      </c>
      <c r="D91" s="9" t="s">
        <v>183</v>
      </c>
      <c r="E91" s="9" t="s">
        <v>184</v>
      </c>
      <c r="F91" s="9" t="s">
        <v>205</v>
      </c>
      <c r="G91" s="6" t="s">
        <v>186</v>
      </c>
      <c r="H91" s="12" t="str">
        <f t="shared" si="2"/>
        <v>MB2002 Psychology and Organizational Behavior</v>
      </c>
      <c r="I91" s="9" t="s">
        <v>177</v>
      </c>
      <c r="J91" s="9" t="s">
        <v>150</v>
      </c>
      <c r="K91" s="9" t="s">
        <v>151</v>
      </c>
      <c r="L91" s="6">
        <v>3</v>
      </c>
      <c r="M91" s="6">
        <v>3</v>
      </c>
      <c r="N91" s="9" t="s">
        <v>187</v>
      </c>
      <c r="O91" s="9" t="s">
        <v>206</v>
      </c>
      <c r="P91" s="10">
        <v>46202</v>
      </c>
      <c r="Q91" s="10">
        <v>46204</v>
      </c>
      <c r="R91" s="10">
        <v>46209</v>
      </c>
      <c r="S91" s="10">
        <v>46211</v>
      </c>
      <c r="T91" s="10">
        <v>46216</v>
      </c>
      <c r="U91" s="10"/>
      <c r="V91" s="10"/>
      <c r="W91" s="10">
        <v>46218</v>
      </c>
      <c r="X91" s="10">
        <v>46223</v>
      </c>
      <c r="Y91" s="10">
        <v>46225</v>
      </c>
      <c r="Z91" s="10">
        <v>46230</v>
      </c>
      <c r="AA91" s="10">
        <v>46232</v>
      </c>
      <c r="AB91" s="10">
        <v>46237</v>
      </c>
      <c r="AC91" s="10"/>
      <c r="AD91" s="10"/>
      <c r="AE91" s="10">
        <v>46239</v>
      </c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</row>
    <row r="92" spans="1:45" ht="27.6" hidden="1">
      <c r="A92" s="22">
        <v>46</v>
      </c>
      <c r="B92" s="6" t="s">
        <v>145</v>
      </c>
      <c r="C92" s="6" t="s">
        <v>677</v>
      </c>
      <c r="D92" s="9" t="s">
        <v>183</v>
      </c>
      <c r="E92" s="9" t="s">
        <v>184</v>
      </c>
      <c r="F92" s="9" t="s">
        <v>205</v>
      </c>
      <c r="G92" s="6" t="s">
        <v>186</v>
      </c>
      <c r="H92" s="12" t="str">
        <f t="shared" si="2"/>
        <v>MB2002 Psychology and Organizational Behavior</v>
      </c>
      <c r="I92" s="9" t="s">
        <v>177</v>
      </c>
      <c r="J92" s="9" t="s">
        <v>150</v>
      </c>
      <c r="K92" s="9" t="s">
        <v>151</v>
      </c>
      <c r="L92" s="6">
        <v>3</v>
      </c>
      <c r="M92" s="6">
        <v>3</v>
      </c>
      <c r="N92" s="9" t="s">
        <v>187</v>
      </c>
      <c r="O92" s="9" t="s">
        <v>188</v>
      </c>
      <c r="P92" s="10">
        <v>46202</v>
      </c>
      <c r="Q92" s="10">
        <v>46204</v>
      </c>
      <c r="R92" s="10">
        <v>46209</v>
      </c>
      <c r="S92" s="10">
        <v>46211</v>
      </c>
      <c r="T92" s="10">
        <v>46216</v>
      </c>
      <c r="U92" s="10"/>
      <c r="V92" s="10"/>
      <c r="W92" s="10">
        <v>46218</v>
      </c>
      <c r="X92" s="10">
        <v>46223</v>
      </c>
      <c r="Y92" s="10">
        <v>46225</v>
      </c>
      <c r="Z92" s="10">
        <v>46230</v>
      </c>
      <c r="AA92" s="10">
        <v>46232</v>
      </c>
      <c r="AB92" s="10">
        <v>46237</v>
      </c>
      <c r="AC92" s="10"/>
      <c r="AD92" s="10"/>
      <c r="AE92" s="10">
        <v>46239</v>
      </c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</row>
    <row r="93" spans="1:45" ht="27.6" hidden="1">
      <c r="A93" s="22">
        <v>46</v>
      </c>
      <c r="B93" s="6" t="s">
        <v>145</v>
      </c>
      <c r="C93" s="6" t="s">
        <v>677</v>
      </c>
      <c r="D93" s="9" t="s">
        <v>183</v>
      </c>
      <c r="E93" s="9" t="s">
        <v>184</v>
      </c>
      <c r="F93" s="9" t="s">
        <v>205</v>
      </c>
      <c r="G93" s="6" t="s">
        <v>186</v>
      </c>
      <c r="H93" s="12" t="str">
        <f t="shared" si="2"/>
        <v>MB2002 Psychology and Organizational Behavior</v>
      </c>
      <c r="I93" s="9" t="s">
        <v>177</v>
      </c>
      <c r="J93" s="9" t="s">
        <v>150</v>
      </c>
      <c r="K93" s="9" t="s">
        <v>151</v>
      </c>
      <c r="L93" s="6">
        <v>3</v>
      </c>
      <c r="M93" s="6">
        <v>3</v>
      </c>
      <c r="N93" s="9" t="s">
        <v>187</v>
      </c>
      <c r="O93" s="9" t="s">
        <v>189</v>
      </c>
      <c r="P93" s="10">
        <v>46202</v>
      </c>
      <c r="Q93" s="10">
        <v>46204</v>
      </c>
      <c r="R93" s="10">
        <v>46209</v>
      </c>
      <c r="S93" s="10">
        <v>46211</v>
      </c>
      <c r="T93" s="10">
        <v>46216</v>
      </c>
      <c r="U93" s="10"/>
      <c r="V93" s="10"/>
      <c r="W93" s="10">
        <v>46218</v>
      </c>
      <c r="X93" s="10">
        <v>46223</v>
      </c>
      <c r="Y93" s="10">
        <v>46225</v>
      </c>
      <c r="Z93" s="10">
        <v>46230</v>
      </c>
      <c r="AA93" s="10">
        <v>46232</v>
      </c>
      <c r="AB93" s="10">
        <v>46237</v>
      </c>
      <c r="AC93" s="10"/>
      <c r="AD93" s="10"/>
      <c r="AE93" s="10">
        <v>46239</v>
      </c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</row>
    <row r="94" spans="1:45" ht="27.6" hidden="1">
      <c r="A94" s="22">
        <v>46</v>
      </c>
      <c r="B94" s="6" t="s">
        <v>145</v>
      </c>
      <c r="C94" s="6" t="s">
        <v>677</v>
      </c>
      <c r="D94" s="9" t="s">
        <v>183</v>
      </c>
      <c r="E94" s="9" t="s">
        <v>184</v>
      </c>
      <c r="F94" s="9" t="s">
        <v>205</v>
      </c>
      <c r="G94" s="6" t="s">
        <v>186</v>
      </c>
      <c r="H94" s="12" t="str">
        <f t="shared" si="2"/>
        <v>MB2002 Psychology and Organizational Behavior</v>
      </c>
      <c r="I94" s="9" t="s">
        <v>177</v>
      </c>
      <c r="J94" s="9" t="s">
        <v>150</v>
      </c>
      <c r="K94" s="9" t="s">
        <v>151</v>
      </c>
      <c r="L94" s="6">
        <v>3</v>
      </c>
      <c r="M94" s="6">
        <v>3</v>
      </c>
      <c r="N94" s="9" t="s">
        <v>187</v>
      </c>
      <c r="O94" s="9" t="s">
        <v>190</v>
      </c>
      <c r="P94" s="10">
        <v>46202</v>
      </c>
      <c r="Q94" s="10">
        <v>46204</v>
      </c>
      <c r="R94" s="10">
        <v>46209</v>
      </c>
      <c r="S94" s="10">
        <v>46211</v>
      </c>
      <c r="T94" s="10">
        <v>46216</v>
      </c>
      <c r="U94" s="10"/>
      <c r="V94" s="10"/>
      <c r="W94" s="10">
        <v>46218</v>
      </c>
      <c r="X94" s="10">
        <v>46223</v>
      </c>
      <c r="Y94" s="10">
        <v>46225</v>
      </c>
      <c r="Z94" s="10">
        <v>46230</v>
      </c>
      <c r="AA94" s="10">
        <v>46232</v>
      </c>
      <c r="AB94" s="10">
        <v>46237</v>
      </c>
      <c r="AC94" s="10"/>
      <c r="AD94" s="10"/>
      <c r="AE94" s="10">
        <v>46239</v>
      </c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</row>
    <row r="95" spans="1:45" ht="27.6" hidden="1">
      <c r="A95" s="6">
        <v>47</v>
      </c>
      <c r="B95" s="6" t="s">
        <v>145</v>
      </c>
      <c r="C95" s="6" t="s">
        <v>677</v>
      </c>
      <c r="D95" s="9" t="s">
        <v>183</v>
      </c>
      <c r="E95" s="9" t="s">
        <v>184</v>
      </c>
      <c r="F95" s="9" t="s">
        <v>207</v>
      </c>
      <c r="G95" s="6" t="s">
        <v>186</v>
      </c>
      <c r="H95" s="12" t="str">
        <f t="shared" si="2"/>
        <v>MB2002 Psychology and Organizational Behavior</v>
      </c>
      <c r="I95" s="9" t="s">
        <v>180</v>
      </c>
      <c r="J95" s="9" t="s">
        <v>150</v>
      </c>
      <c r="K95" s="9" t="s">
        <v>151</v>
      </c>
      <c r="L95" s="6">
        <v>3</v>
      </c>
      <c r="M95" s="6">
        <v>3</v>
      </c>
      <c r="N95" s="9" t="s">
        <v>187</v>
      </c>
      <c r="O95" s="9" t="s">
        <v>208</v>
      </c>
      <c r="P95" s="10">
        <v>46202</v>
      </c>
      <c r="Q95" s="10">
        <v>46204</v>
      </c>
      <c r="R95" s="10">
        <v>46209</v>
      </c>
      <c r="S95" s="10">
        <v>46211</v>
      </c>
      <c r="T95" s="10">
        <v>46216</v>
      </c>
      <c r="U95" s="10"/>
      <c r="V95" s="10"/>
      <c r="W95" s="10">
        <v>46218</v>
      </c>
      <c r="X95" s="10">
        <v>46223</v>
      </c>
      <c r="Y95" s="10">
        <v>46225</v>
      </c>
      <c r="Z95" s="10">
        <v>46230</v>
      </c>
      <c r="AA95" s="10">
        <v>46232</v>
      </c>
      <c r="AB95" s="10">
        <v>46237</v>
      </c>
      <c r="AC95" s="10"/>
      <c r="AD95" s="10"/>
      <c r="AE95" s="10">
        <v>46239</v>
      </c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</row>
    <row r="96" spans="1:45" ht="27.6" hidden="1">
      <c r="A96" s="6">
        <v>47</v>
      </c>
      <c r="B96" s="6" t="s">
        <v>145</v>
      </c>
      <c r="C96" s="6" t="s">
        <v>677</v>
      </c>
      <c r="D96" s="9" t="s">
        <v>183</v>
      </c>
      <c r="E96" s="9" t="s">
        <v>184</v>
      </c>
      <c r="F96" s="9" t="s">
        <v>207</v>
      </c>
      <c r="G96" s="6" t="s">
        <v>186</v>
      </c>
      <c r="H96" s="12" t="str">
        <f t="shared" si="2"/>
        <v>MB2002 Psychology and Organizational Behavior</v>
      </c>
      <c r="I96" s="9" t="s">
        <v>180</v>
      </c>
      <c r="J96" s="9" t="s">
        <v>150</v>
      </c>
      <c r="K96" s="9" t="s">
        <v>151</v>
      </c>
      <c r="L96" s="6">
        <v>3</v>
      </c>
      <c r="M96" s="6">
        <v>3</v>
      </c>
      <c r="N96" s="9" t="s">
        <v>187</v>
      </c>
      <c r="O96" s="9" t="s">
        <v>190</v>
      </c>
      <c r="P96" s="10">
        <v>46202</v>
      </c>
      <c r="Q96" s="10">
        <v>46204</v>
      </c>
      <c r="R96" s="10">
        <v>46209</v>
      </c>
      <c r="S96" s="10">
        <v>46211</v>
      </c>
      <c r="T96" s="10">
        <v>46216</v>
      </c>
      <c r="U96" s="10"/>
      <c r="V96" s="10"/>
      <c r="W96" s="10">
        <v>46218</v>
      </c>
      <c r="X96" s="10">
        <v>46223</v>
      </c>
      <c r="Y96" s="10">
        <v>46225</v>
      </c>
      <c r="Z96" s="10">
        <v>46230</v>
      </c>
      <c r="AA96" s="10">
        <v>46232</v>
      </c>
      <c r="AB96" s="10">
        <v>46237</v>
      </c>
      <c r="AC96" s="10"/>
      <c r="AD96" s="10"/>
      <c r="AE96" s="10">
        <v>46239</v>
      </c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</row>
    <row r="97" spans="1:45" ht="27.6" hidden="1">
      <c r="A97" s="6">
        <v>47</v>
      </c>
      <c r="B97" s="6" t="s">
        <v>145</v>
      </c>
      <c r="C97" s="6" t="s">
        <v>677</v>
      </c>
      <c r="D97" s="9" t="s">
        <v>183</v>
      </c>
      <c r="E97" s="9" t="s">
        <v>184</v>
      </c>
      <c r="F97" s="9" t="s">
        <v>207</v>
      </c>
      <c r="G97" s="6" t="s">
        <v>186</v>
      </c>
      <c r="H97" s="12" t="str">
        <f t="shared" si="2"/>
        <v>MB2002 Psychology and Organizational Behavior</v>
      </c>
      <c r="I97" s="9" t="s">
        <v>180</v>
      </c>
      <c r="J97" s="9" t="s">
        <v>150</v>
      </c>
      <c r="K97" s="9" t="s">
        <v>151</v>
      </c>
      <c r="L97" s="6">
        <v>3</v>
      </c>
      <c r="M97" s="6">
        <v>3</v>
      </c>
      <c r="N97" s="9" t="s">
        <v>187</v>
      </c>
      <c r="O97" s="9" t="s">
        <v>188</v>
      </c>
      <c r="P97" s="10">
        <v>46202</v>
      </c>
      <c r="Q97" s="10">
        <v>46204</v>
      </c>
      <c r="R97" s="10">
        <v>46209</v>
      </c>
      <c r="S97" s="10">
        <v>46211</v>
      </c>
      <c r="T97" s="10">
        <v>46216</v>
      </c>
      <c r="U97" s="10"/>
      <c r="V97" s="10"/>
      <c r="W97" s="10">
        <v>46218</v>
      </c>
      <c r="X97" s="10">
        <v>46223</v>
      </c>
      <c r="Y97" s="10">
        <v>46225</v>
      </c>
      <c r="Z97" s="10">
        <v>46230</v>
      </c>
      <c r="AA97" s="10">
        <v>46232</v>
      </c>
      <c r="AB97" s="10">
        <v>46237</v>
      </c>
      <c r="AC97" s="10"/>
      <c r="AD97" s="10"/>
      <c r="AE97" s="10">
        <v>46239</v>
      </c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</row>
    <row r="98" spans="1:45" ht="27.6" hidden="1">
      <c r="A98" s="6">
        <v>47</v>
      </c>
      <c r="B98" s="6" t="s">
        <v>145</v>
      </c>
      <c r="C98" s="6" t="s">
        <v>677</v>
      </c>
      <c r="D98" s="9" t="s">
        <v>183</v>
      </c>
      <c r="E98" s="9" t="s">
        <v>184</v>
      </c>
      <c r="F98" s="9" t="s">
        <v>207</v>
      </c>
      <c r="G98" s="6" t="s">
        <v>186</v>
      </c>
      <c r="H98" s="12" t="str">
        <f t="shared" si="2"/>
        <v>MB2002 Psychology and Organizational Behavior</v>
      </c>
      <c r="I98" s="9" t="s">
        <v>180</v>
      </c>
      <c r="J98" s="9" t="s">
        <v>150</v>
      </c>
      <c r="K98" s="9" t="s">
        <v>151</v>
      </c>
      <c r="L98" s="6">
        <v>3</v>
      </c>
      <c r="M98" s="6">
        <v>3</v>
      </c>
      <c r="N98" s="9" t="s">
        <v>187</v>
      </c>
      <c r="O98" s="9" t="s">
        <v>189</v>
      </c>
      <c r="P98" s="10">
        <v>46202</v>
      </c>
      <c r="Q98" s="10">
        <v>46204</v>
      </c>
      <c r="R98" s="10">
        <v>46209</v>
      </c>
      <c r="S98" s="10">
        <v>46211</v>
      </c>
      <c r="T98" s="10">
        <v>46216</v>
      </c>
      <c r="U98" s="10"/>
      <c r="V98" s="10"/>
      <c r="W98" s="10">
        <v>46218</v>
      </c>
      <c r="X98" s="10">
        <v>46223</v>
      </c>
      <c r="Y98" s="10">
        <v>46225</v>
      </c>
      <c r="Z98" s="10">
        <v>46230</v>
      </c>
      <c r="AA98" s="10">
        <v>46232</v>
      </c>
      <c r="AB98" s="10">
        <v>46237</v>
      </c>
      <c r="AC98" s="10"/>
      <c r="AD98" s="10"/>
      <c r="AE98" s="10">
        <v>46239</v>
      </c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</row>
    <row r="99" spans="1:45" ht="27.6" hidden="1">
      <c r="A99" s="22">
        <v>48</v>
      </c>
      <c r="B99" s="6" t="s">
        <v>145</v>
      </c>
      <c r="C99" s="6" t="s">
        <v>677</v>
      </c>
      <c r="D99" s="9" t="s">
        <v>209</v>
      </c>
      <c r="E99" s="9" t="s">
        <v>210</v>
      </c>
      <c r="F99" s="9" t="s">
        <v>211</v>
      </c>
      <c r="G99" s="6" t="s">
        <v>186</v>
      </c>
      <c r="H99" s="12" t="str">
        <f t="shared" si="2"/>
        <v>MB2003 Business Communication</v>
      </c>
      <c r="I99" s="9" t="s">
        <v>149</v>
      </c>
      <c r="J99" s="9" t="s">
        <v>212</v>
      </c>
      <c r="K99" s="9" t="s">
        <v>172</v>
      </c>
      <c r="L99" s="6">
        <v>2</v>
      </c>
      <c r="M99" s="6">
        <v>2</v>
      </c>
      <c r="N99" s="9" t="s">
        <v>213</v>
      </c>
      <c r="O99" s="9" t="s">
        <v>195</v>
      </c>
      <c r="P99" s="10">
        <v>46203</v>
      </c>
      <c r="Q99" s="10">
        <v>46205</v>
      </c>
      <c r="R99" s="10">
        <v>46210</v>
      </c>
      <c r="S99" s="10">
        <v>46212</v>
      </c>
      <c r="T99" s="10">
        <v>46217</v>
      </c>
      <c r="U99" s="10">
        <v>46219</v>
      </c>
      <c r="V99" s="10">
        <v>46224</v>
      </c>
      <c r="W99" s="10">
        <v>46226</v>
      </c>
      <c r="X99" s="10">
        <v>46226</v>
      </c>
      <c r="Y99" s="10">
        <v>46231</v>
      </c>
      <c r="Z99" s="10">
        <v>46233</v>
      </c>
      <c r="AA99" s="10">
        <v>46238</v>
      </c>
      <c r="AB99" s="10">
        <v>46240</v>
      </c>
      <c r="AC99" s="10">
        <v>46245</v>
      </c>
      <c r="AD99" s="10">
        <v>46247</v>
      </c>
      <c r="AE99" s="10">
        <v>46254</v>
      </c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</row>
    <row r="100" spans="1:45" ht="27.6" hidden="1">
      <c r="A100" s="22">
        <v>48</v>
      </c>
      <c r="B100" s="6" t="s">
        <v>145</v>
      </c>
      <c r="C100" s="6" t="s">
        <v>677</v>
      </c>
      <c r="D100" s="9" t="s">
        <v>209</v>
      </c>
      <c r="E100" s="9" t="s">
        <v>210</v>
      </c>
      <c r="F100" s="9" t="s">
        <v>211</v>
      </c>
      <c r="G100" s="6" t="s">
        <v>186</v>
      </c>
      <c r="H100" s="12" t="str">
        <f t="shared" si="2"/>
        <v>MB2003 Business Communication</v>
      </c>
      <c r="I100" s="9" t="s">
        <v>149</v>
      </c>
      <c r="J100" s="9" t="s">
        <v>212</v>
      </c>
      <c r="K100" s="9" t="s">
        <v>172</v>
      </c>
      <c r="L100" s="6">
        <v>2</v>
      </c>
      <c r="M100" s="6">
        <v>2</v>
      </c>
      <c r="N100" s="9" t="s">
        <v>213</v>
      </c>
      <c r="O100" s="9" t="s">
        <v>214</v>
      </c>
      <c r="P100" s="10">
        <v>46203</v>
      </c>
      <c r="Q100" s="10">
        <v>46205</v>
      </c>
      <c r="R100" s="10">
        <v>46210</v>
      </c>
      <c r="S100" s="10">
        <v>46212</v>
      </c>
      <c r="T100" s="10">
        <v>46217</v>
      </c>
      <c r="U100" s="10">
        <v>46219</v>
      </c>
      <c r="V100" s="10">
        <v>46224</v>
      </c>
      <c r="W100" s="10">
        <v>46226</v>
      </c>
      <c r="X100" s="10">
        <v>46226</v>
      </c>
      <c r="Y100" s="10">
        <v>46231</v>
      </c>
      <c r="Z100" s="10">
        <v>46233</v>
      </c>
      <c r="AA100" s="10">
        <v>46238</v>
      </c>
      <c r="AB100" s="10">
        <v>46240</v>
      </c>
      <c r="AC100" s="10">
        <v>46245</v>
      </c>
      <c r="AD100" s="10">
        <v>46247</v>
      </c>
      <c r="AE100" s="10">
        <v>46254</v>
      </c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</row>
    <row r="101" spans="1:45" ht="27.6" hidden="1">
      <c r="A101" s="6">
        <v>49</v>
      </c>
      <c r="B101" s="6" t="s">
        <v>145</v>
      </c>
      <c r="C101" s="6" t="s">
        <v>677</v>
      </c>
      <c r="D101" s="9" t="s">
        <v>209</v>
      </c>
      <c r="E101" s="9" t="s">
        <v>210</v>
      </c>
      <c r="F101" s="9" t="s">
        <v>215</v>
      </c>
      <c r="G101" s="6" t="s">
        <v>186</v>
      </c>
      <c r="H101" s="12" t="str">
        <f t="shared" si="2"/>
        <v>MB2003 Business Communication</v>
      </c>
      <c r="I101" s="9" t="s">
        <v>156</v>
      </c>
      <c r="J101" s="9" t="s">
        <v>212</v>
      </c>
      <c r="K101" s="9" t="s">
        <v>172</v>
      </c>
      <c r="L101" s="6">
        <v>2</v>
      </c>
      <c r="M101" s="6">
        <v>2</v>
      </c>
      <c r="N101" s="9" t="s">
        <v>213</v>
      </c>
      <c r="O101" s="9" t="s">
        <v>216</v>
      </c>
      <c r="P101" s="10">
        <v>46203</v>
      </c>
      <c r="Q101" s="10">
        <v>46205</v>
      </c>
      <c r="R101" s="10">
        <v>46210</v>
      </c>
      <c r="S101" s="10">
        <v>46212</v>
      </c>
      <c r="T101" s="10">
        <v>46217</v>
      </c>
      <c r="U101" s="10">
        <v>46219</v>
      </c>
      <c r="V101" s="10">
        <v>46224</v>
      </c>
      <c r="W101" s="10">
        <v>46226</v>
      </c>
      <c r="X101" s="10">
        <v>46226</v>
      </c>
      <c r="Y101" s="10">
        <v>46231</v>
      </c>
      <c r="Z101" s="10">
        <v>46233</v>
      </c>
      <c r="AA101" s="10">
        <v>46238</v>
      </c>
      <c r="AB101" s="10">
        <v>46240</v>
      </c>
      <c r="AC101" s="10">
        <v>46245</v>
      </c>
      <c r="AD101" s="10">
        <v>46247</v>
      </c>
      <c r="AE101" s="10">
        <v>46254</v>
      </c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</row>
    <row r="102" spans="1:45" ht="27.6" hidden="1">
      <c r="A102" s="6">
        <v>49</v>
      </c>
      <c r="B102" s="6" t="s">
        <v>145</v>
      </c>
      <c r="C102" s="6" t="s">
        <v>677</v>
      </c>
      <c r="D102" s="9" t="s">
        <v>209</v>
      </c>
      <c r="E102" s="9" t="s">
        <v>210</v>
      </c>
      <c r="F102" s="9" t="s">
        <v>215</v>
      </c>
      <c r="G102" s="6" t="s">
        <v>186</v>
      </c>
      <c r="H102" s="12" t="str">
        <f t="shared" si="2"/>
        <v>MB2003 Business Communication</v>
      </c>
      <c r="I102" s="9" t="s">
        <v>156</v>
      </c>
      <c r="J102" s="9" t="s">
        <v>212</v>
      </c>
      <c r="K102" s="9" t="s">
        <v>172</v>
      </c>
      <c r="L102" s="6">
        <v>2</v>
      </c>
      <c r="M102" s="6">
        <v>2</v>
      </c>
      <c r="N102" s="9" t="s">
        <v>213</v>
      </c>
      <c r="O102" s="9" t="s">
        <v>214</v>
      </c>
      <c r="P102" s="10">
        <v>46203</v>
      </c>
      <c r="Q102" s="10">
        <v>46205</v>
      </c>
      <c r="R102" s="10">
        <v>46210</v>
      </c>
      <c r="S102" s="10">
        <v>46212</v>
      </c>
      <c r="T102" s="10">
        <v>46217</v>
      </c>
      <c r="U102" s="10">
        <v>46219</v>
      </c>
      <c r="V102" s="10">
        <v>46224</v>
      </c>
      <c r="W102" s="10">
        <v>46226</v>
      </c>
      <c r="X102" s="10">
        <v>46226</v>
      </c>
      <c r="Y102" s="10">
        <v>46231</v>
      </c>
      <c r="Z102" s="10">
        <v>46233</v>
      </c>
      <c r="AA102" s="10">
        <v>46238</v>
      </c>
      <c r="AB102" s="10">
        <v>46240</v>
      </c>
      <c r="AC102" s="10">
        <v>46245</v>
      </c>
      <c r="AD102" s="10">
        <v>46247</v>
      </c>
      <c r="AE102" s="10">
        <v>46254</v>
      </c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</row>
    <row r="103" spans="1:45" ht="27.6" hidden="1">
      <c r="A103" s="22">
        <v>50</v>
      </c>
      <c r="B103" s="6" t="s">
        <v>145</v>
      </c>
      <c r="C103" s="6" t="s">
        <v>677</v>
      </c>
      <c r="D103" s="9" t="s">
        <v>209</v>
      </c>
      <c r="E103" s="9" t="s">
        <v>210</v>
      </c>
      <c r="F103" s="9" t="s">
        <v>217</v>
      </c>
      <c r="G103" s="6" t="s">
        <v>186</v>
      </c>
      <c r="H103" s="12" t="str">
        <f t="shared" si="2"/>
        <v>MB2003 Business Communication</v>
      </c>
      <c r="I103" s="9" t="s">
        <v>160</v>
      </c>
      <c r="J103" s="9" t="s">
        <v>212</v>
      </c>
      <c r="K103" s="9" t="s">
        <v>172</v>
      </c>
      <c r="L103" s="6">
        <v>2</v>
      </c>
      <c r="M103" s="6">
        <v>2</v>
      </c>
      <c r="N103" s="9" t="s">
        <v>213</v>
      </c>
      <c r="O103" s="9" t="s">
        <v>218</v>
      </c>
      <c r="P103" s="10">
        <v>46203</v>
      </c>
      <c r="Q103" s="10">
        <v>46205</v>
      </c>
      <c r="R103" s="10">
        <v>46210</v>
      </c>
      <c r="S103" s="10">
        <v>46212</v>
      </c>
      <c r="T103" s="10">
        <v>46217</v>
      </c>
      <c r="U103" s="10">
        <v>46219</v>
      </c>
      <c r="V103" s="10">
        <v>46224</v>
      </c>
      <c r="W103" s="10">
        <v>46226</v>
      </c>
      <c r="X103" s="10">
        <v>46226</v>
      </c>
      <c r="Y103" s="10">
        <v>46231</v>
      </c>
      <c r="Z103" s="10">
        <v>46233</v>
      </c>
      <c r="AA103" s="10">
        <v>46238</v>
      </c>
      <c r="AB103" s="10">
        <v>46240</v>
      </c>
      <c r="AC103" s="10">
        <v>46245</v>
      </c>
      <c r="AD103" s="10">
        <v>46247</v>
      </c>
      <c r="AE103" s="10">
        <v>46254</v>
      </c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</row>
    <row r="104" spans="1:45" ht="27.6" hidden="1">
      <c r="A104" s="22">
        <v>50</v>
      </c>
      <c r="B104" s="6" t="s">
        <v>145</v>
      </c>
      <c r="C104" s="6" t="s">
        <v>677</v>
      </c>
      <c r="D104" s="9" t="s">
        <v>209</v>
      </c>
      <c r="E104" s="9" t="s">
        <v>210</v>
      </c>
      <c r="F104" s="9" t="s">
        <v>217</v>
      </c>
      <c r="G104" s="6" t="s">
        <v>186</v>
      </c>
      <c r="H104" s="12" t="str">
        <f t="shared" si="2"/>
        <v>MB2003 Business Communication</v>
      </c>
      <c r="I104" s="9" t="s">
        <v>160</v>
      </c>
      <c r="J104" s="9" t="s">
        <v>212</v>
      </c>
      <c r="K104" s="9" t="s">
        <v>172</v>
      </c>
      <c r="L104" s="6">
        <v>2</v>
      </c>
      <c r="M104" s="6">
        <v>2</v>
      </c>
      <c r="N104" s="9" t="s">
        <v>213</v>
      </c>
      <c r="O104" s="9" t="s">
        <v>219</v>
      </c>
      <c r="P104" s="10">
        <v>46203</v>
      </c>
      <c r="Q104" s="10">
        <v>46205</v>
      </c>
      <c r="R104" s="10">
        <v>46210</v>
      </c>
      <c r="S104" s="10">
        <v>46212</v>
      </c>
      <c r="T104" s="10">
        <v>46217</v>
      </c>
      <c r="U104" s="10">
        <v>46219</v>
      </c>
      <c r="V104" s="10">
        <v>46224</v>
      </c>
      <c r="W104" s="10">
        <v>46226</v>
      </c>
      <c r="X104" s="10">
        <v>46226</v>
      </c>
      <c r="Y104" s="10">
        <v>46231</v>
      </c>
      <c r="Z104" s="10">
        <v>46233</v>
      </c>
      <c r="AA104" s="10">
        <v>46238</v>
      </c>
      <c r="AB104" s="10">
        <v>46240</v>
      </c>
      <c r="AC104" s="10">
        <v>46245</v>
      </c>
      <c r="AD104" s="10">
        <v>46247</v>
      </c>
      <c r="AE104" s="10">
        <v>46254</v>
      </c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</row>
    <row r="105" spans="1:45" ht="27.6" hidden="1">
      <c r="A105" s="6">
        <v>51</v>
      </c>
      <c r="B105" s="6" t="s">
        <v>145</v>
      </c>
      <c r="C105" s="6" t="s">
        <v>677</v>
      </c>
      <c r="D105" s="9" t="s">
        <v>209</v>
      </c>
      <c r="E105" s="9" t="s">
        <v>210</v>
      </c>
      <c r="F105" s="9" t="s">
        <v>220</v>
      </c>
      <c r="G105" s="6" t="s">
        <v>186</v>
      </c>
      <c r="H105" s="12" t="str">
        <f t="shared" si="2"/>
        <v>MB2003 Business Communication</v>
      </c>
      <c r="I105" s="9" t="s">
        <v>164</v>
      </c>
      <c r="J105" s="9" t="s">
        <v>212</v>
      </c>
      <c r="K105" s="9" t="s">
        <v>172</v>
      </c>
      <c r="L105" s="6">
        <v>2</v>
      </c>
      <c r="M105" s="6">
        <v>2</v>
      </c>
      <c r="N105" s="9" t="s">
        <v>213</v>
      </c>
      <c r="O105" s="9" t="s">
        <v>214</v>
      </c>
      <c r="P105" s="10">
        <v>46203</v>
      </c>
      <c r="Q105" s="10">
        <v>46205</v>
      </c>
      <c r="R105" s="10">
        <v>46210</v>
      </c>
      <c r="S105" s="10">
        <v>46212</v>
      </c>
      <c r="T105" s="10">
        <v>46217</v>
      </c>
      <c r="U105" s="10">
        <v>46219</v>
      </c>
      <c r="V105" s="10">
        <v>46224</v>
      </c>
      <c r="W105" s="10">
        <v>46226</v>
      </c>
      <c r="X105" s="10">
        <v>46226</v>
      </c>
      <c r="Y105" s="10">
        <v>46231</v>
      </c>
      <c r="Z105" s="10">
        <v>46233</v>
      </c>
      <c r="AA105" s="10">
        <v>46238</v>
      </c>
      <c r="AB105" s="10">
        <v>46240</v>
      </c>
      <c r="AC105" s="10">
        <v>46245</v>
      </c>
      <c r="AD105" s="10">
        <v>46247</v>
      </c>
      <c r="AE105" s="10">
        <v>46254</v>
      </c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</row>
    <row r="106" spans="1:45" ht="27.6" hidden="1">
      <c r="A106" s="6">
        <v>51</v>
      </c>
      <c r="B106" s="6" t="s">
        <v>145</v>
      </c>
      <c r="C106" s="6" t="s">
        <v>677</v>
      </c>
      <c r="D106" s="9" t="s">
        <v>209</v>
      </c>
      <c r="E106" s="9" t="s">
        <v>210</v>
      </c>
      <c r="F106" s="9" t="s">
        <v>220</v>
      </c>
      <c r="G106" s="6" t="s">
        <v>186</v>
      </c>
      <c r="H106" s="12" t="str">
        <f t="shared" si="2"/>
        <v>MB2003 Business Communication</v>
      </c>
      <c r="I106" s="9" t="s">
        <v>164</v>
      </c>
      <c r="J106" s="9" t="s">
        <v>212</v>
      </c>
      <c r="K106" s="9" t="s">
        <v>172</v>
      </c>
      <c r="L106" s="6">
        <v>2</v>
      </c>
      <c r="M106" s="6">
        <v>2</v>
      </c>
      <c r="N106" s="9" t="s">
        <v>213</v>
      </c>
      <c r="O106" s="9" t="s">
        <v>221</v>
      </c>
      <c r="P106" s="10">
        <v>46203</v>
      </c>
      <c r="Q106" s="10">
        <v>46205</v>
      </c>
      <c r="R106" s="10">
        <v>46210</v>
      </c>
      <c r="S106" s="10">
        <v>46212</v>
      </c>
      <c r="T106" s="10">
        <v>46217</v>
      </c>
      <c r="U106" s="10">
        <v>46219</v>
      </c>
      <c r="V106" s="10">
        <v>46224</v>
      </c>
      <c r="W106" s="10">
        <v>46226</v>
      </c>
      <c r="X106" s="10">
        <v>46226</v>
      </c>
      <c r="Y106" s="10">
        <v>46231</v>
      </c>
      <c r="Z106" s="10">
        <v>46233</v>
      </c>
      <c r="AA106" s="10">
        <v>46238</v>
      </c>
      <c r="AB106" s="10">
        <v>46240</v>
      </c>
      <c r="AC106" s="10">
        <v>46245</v>
      </c>
      <c r="AD106" s="10">
        <v>46247</v>
      </c>
      <c r="AE106" s="10">
        <v>46254</v>
      </c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</row>
    <row r="107" spans="1:45" ht="27.6" hidden="1">
      <c r="A107" s="22">
        <v>52</v>
      </c>
      <c r="B107" s="6" t="s">
        <v>145</v>
      </c>
      <c r="C107" s="6" t="s">
        <v>677</v>
      </c>
      <c r="D107" s="9" t="s">
        <v>209</v>
      </c>
      <c r="E107" s="9" t="s">
        <v>210</v>
      </c>
      <c r="F107" s="9" t="s">
        <v>222</v>
      </c>
      <c r="G107" s="6" t="s">
        <v>186</v>
      </c>
      <c r="H107" s="12" t="str">
        <f t="shared" si="2"/>
        <v>MB2003 Business Communication</v>
      </c>
      <c r="I107" s="9" t="s">
        <v>167</v>
      </c>
      <c r="J107" s="9" t="s">
        <v>212</v>
      </c>
      <c r="K107" s="9" t="s">
        <v>172</v>
      </c>
      <c r="L107" s="6">
        <v>2</v>
      </c>
      <c r="M107" s="6">
        <v>2</v>
      </c>
      <c r="N107" s="9" t="s">
        <v>213</v>
      </c>
      <c r="O107" s="9" t="s">
        <v>214</v>
      </c>
      <c r="P107" s="10">
        <v>46203</v>
      </c>
      <c r="Q107" s="10">
        <v>46205</v>
      </c>
      <c r="R107" s="10">
        <v>46210</v>
      </c>
      <c r="S107" s="10">
        <v>46212</v>
      </c>
      <c r="T107" s="10">
        <v>46217</v>
      </c>
      <c r="U107" s="10">
        <v>46219</v>
      </c>
      <c r="V107" s="10">
        <v>46224</v>
      </c>
      <c r="W107" s="10">
        <v>46226</v>
      </c>
      <c r="X107" s="10">
        <v>46226</v>
      </c>
      <c r="Y107" s="10">
        <v>46231</v>
      </c>
      <c r="Z107" s="10">
        <v>46233</v>
      </c>
      <c r="AA107" s="10">
        <v>46238</v>
      </c>
      <c r="AB107" s="10">
        <v>46240</v>
      </c>
      <c r="AC107" s="10">
        <v>46245</v>
      </c>
      <c r="AD107" s="10">
        <v>46247</v>
      </c>
      <c r="AE107" s="10">
        <v>46254</v>
      </c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</row>
    <row r="108" spans="1:45" ht="27.6" hidden="1">
      <c r="A108" s="22">
        <v>52</v>
      </c>
      <c r="B108" s="6" t="s">
        <v>145</v>
      </c>
      <c r="C108" s="6" t="s">
        <v>677</v>
      </c>
      <c r="D108" s="9" t="s">
        <v>209</v>
      </c>
      <c r="E108" s="9" t="s">
        <v>210</v>
      </c>
      <c r="F108" s="9" t="s">
        <v>222</v>
      </c>
      <c r="G108" s="6" t="s">
        <v>186</v>
      </c>
      <c r="H108" s="12" t="str">
        <f t="shared" si="2"/>
        <v>MB2003 Business Communication</v>
      </c>
      <c r="I108" s="9" t="s">
        <v>167</v>
      </c>
      <c r="J108" s="9" t="s">
        <v>212</v>
      </c>
      <c r="K108" s="9" t="s">
        <v>172</v>
      </c>
      <c r="L108" s="6">
        <v>2</v>
      </c>
      <c r="M108" s="6">
        <v>2</v>
      </c>
      <c r="N108" s="9" t="s">
        <v>213</v>
      </c>
      <c r="O108" s="9" t="s">
        <v>193</v>
      </c>
      <c r="P108" s="10">
        <v>46203</v>
      </c>
      <c r="Q108" s="10">
        <v>46205</v>
      </c>
      <c r="R108" s="10">
        <v>46210</v>
      </c>
      <c r="S108" s="10">
        <v>46212</v>
      </c>
      <c r="T108" s="10">
        <v>46217</v>
      </c>
      <c r="U108" s="10">
        <v>46219</v>
      </c>
      <c r="V108" s="10">
        <v>46224</v>
      </c>
      <c r="W108" s="10">
        <v>46226</v>
      </c>
      <c r="X108" s="10">
        <v>46226</v>
      </c>
      <c r="Y108" s="10">
        <v>46231</v>
      </c>
      <c r="Z108" s="10">
        <v>46233</v>
      </c>
      <c r="AA108" s="10">
        <v>46238</v>
      </c>
      <c r="AB108" s="10">
        <v>46240</v>
      </c>
      <c r="AC108" s="10">
        <v>46245</v>
      </c>
      <c r="AD108" s="10">
        <v>46247</v>
      </c>
      <c r="AE108" s="10">
        <v>46254</v>
      </c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</row>
    <row r="109" spans="1:45" ht="27.6" hidden="1">
      <c r="A109" s="6">
        <v>53</v>
      </c>
      <c r="B109" s="6" t="s">
        <v>145</v>
      </c>
      <c r="C109" s="6" t="s">
        <v>677</v>
      </c>
      <c r="D109" s="9" t="s">
        <v>209</v>
      </c>
      <c r="E109" s="9" t="s">
        <v>210</v>
      </c>
      <c r="F109" s="9" t="s">
        <v>223</v>
      </c>
      <c r="G109" s="6" t="s">
        <v>186</v>
      </c>
      <c r="H109" s="12" t="str">
        <f t="shared" si="2"/>
        <v>MB2003 Business Communication</v>
      </c>
      <c r="I109" s="9" t="s">
        <v>171</v>
      </c>
      <c r="J109" s="9" t="s">
        <v>212</v>
      </c>
      <c r="K109" s="9" t="s">
        <v>151</v>
      </c>
      <c r="L109" s="6">
        <v>2</v>
      </c>
      <c r="M109" s="6">
        <v>2</v>
      </c>
      <c r="N109" s="9" t="s">
        <v>224</v>
      </c>
      <c r="O109" s="9" t="s">
        <v>225</v>
      </c>
      <c r="P109" s="10">
        <v>46203</v>
      </c>
      <c r="Q109" s="10">
        <v>46205</v>
      </c>
      <c r="R109" s="10">
        <v>46210</v>
      </c>
      <c r="S109" s="10">
        <v>46212</v>
      </c>
      <c r="T109" s="10">
        <v>46217</v>
      </c>
      <c r="U109" s="10">
        <v>46219</v>
      </c>
      <c r="V109" s="10">
        <v>46224</v>
      </c>
      <c r="W109" s="10">
        <v>46226</v>
      </c>
      <c r="X109" s="10">
        <v>46226</v>
      </c>
      <c r="Y109" s="10">
        <v>46231</v>
      </c>
      <c r="Z109" s="10">
        <v>46233</v>
      </c>
      <c r="AA109" s="10">
        <v>46238</v>
      </c>
      <c r="AB109" s="10">
        <v>46240</v>
      </c>
      <c r="AC109" s="10">
        <v>46245</v>
      </c>
      <c r="AD109" s="10">
        <v>46247</v>
      </c>
      <c r="AE109" s="10">
        <v>46254</v>
      </c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</row>
    <row r="110" spans="1:45" ht="27.6" hidden="1">
      <c r="A110" s="6">
        <v>53</v>
      </c>
      <c r="B110" s="6" t="s">
        <v>145</v>
      </c>
      <c r="C110" s="6" t="s">
        <v>677</v>
      </c>
      <c r="D110" s="9" t="s">
        <v>209</v>
      </c>
      <c r="E110" s="9" t="s">
        <v>210</v>
      </c>
      <c r="F110" s="9" t="s">
        <v>223</v>
      </c>
      <c r="G110" s="6" t="s">
        <v>186</v>
      </c>
      <c r="H110" s="12" t="str">
        <f t="shared" si="2"/>
        <v>MB2003 Business Communication</v>
      </c>
      <c r="I110" s="9" t="s">
        <v>171</v>
      </c>
      <c r="J110" s="9" t="s">
        <v>212</v>
      </c>
      <c r="K110" s="9" t="s">
        <v>151</v>
      </c>
      <c r="L110" s="6">
        <v>2</v>
      </c>
      <c r="M110" s="6">
        <v>2</v>
      </c>
      <c r="N110" s="9" t="s">
        <v>224</v>
      </c>
      <c r="O110" s="9" t="s">
        <v>214</v>
      </c>
      <c r="P110" s="10">
        <v>46203</v>
      </c>
      <c r="Q110" s="10">
        <v>46205</v>
      </c>
      <c r="R110" s="10">
        <v>46210</v>
      </c>
      <c r="S110" s="10">
        <v>46212</v>
      </c>
      <c r="T110" s="10">
        <v>46217</v>
      </c>
      <c r="U110" s="10">
        <v>46219</v>
      </c>
      <c r="V110" s="10">
        <v>46224</v>
      </c>
      <c r="W110" s="10">
        <v>46226</v>
      </c>
      <c r="X110" s="10">
        <v>46226</v>
      </c>
      <c r="Y110" s="10">
        <v>46231</v>
      </c>
      <c r="Z110" s="10">
        <v>46233</v>
      </c>
      <c r="AA110" s="10">
        <v>46238</v>
      </c>
      <c r="AB110" s="10">
        <v>46240</v>
      </c>
      <c r="AC110" s="10">
        <v>46245</v>
      </c>
      <c r="AD110" s="10">
        <v>46247</v>
      </c>
      <c r="AE110" s="10">
        <v>46254</v>
      </c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</row>
    <row r="111" spans="1:45" ht="27.6" hidden="1">
      <c r="A111" s="22">
        <v>54</v>
      </c>
      <c r="B111" s="6" t="s">
        <v>145</v>
      </c>
      <c r="C111" s="6" t="s">
        <v>677</v>
      </c>
      <c r="D111" s="9" t="s">
        <v>209</v>
      </c>
      <c r="E111" s="9" t="s">
        <v>210</v>
      </c>
      <c r="F111" s="9" t="s">
        <v>226</v>
      </c>
      <c r="G111" s="6" t="s">
        <v>186</v>
      </c>
      <c r="H111" s="12" t="str">
        <f t="shared" si="2"/>
        <v>MB2003 Business Communication</v>
      </c>
      <c r="I111" s="9" t="s">
        <v>177</v>
      </c>
      <c r="J111" s="9" t="s">
        <v>212</v>
      </c>
      <c r="K111" s="9" t="s">
        <v>151</v>
      </c>
      <c r="L111" s="6">
        <v>2</v>
      </c>
      <c r="M111" s="6">
        <v>2</v>
      </c>
      <c r="N111" s="9" t="s">
        <v>224</v>
      </c>
      <c r="O111" s="9" t="s">
        <v>227</v>
      </c>
      <c r="P111" s="10">
        <v>46203</v>
      </c>
      <c r="Q111" s="10">
        <v>46205</v>
      </c>
      <c r="R111" s="10">
        <v>46210</v>
      </c>
      <c r="S111" s="10">
        <v>46212</v>
      </c>
      <c r="T111" s="10">
        <v>46217</v>
      </c>
      <c r="U111" s="10">
        <v>46219</v>
      </c>
      <c r="V111" s="10">
        <v>46224</v>
      </c>
      <c r="W111" s="10">
        <v>46226</v>
      </c>
      <c r="X111" s="10">
        <v>46226</v>
      </c>
      <c r="Y111" s="10">
        <v>46231</v>
      </c>
      <c r="Z111" s="10">
        <v>46233</v>
      </c>
      <c r="AA111" s="10">
        <v>46238</v>
      </c>
      <c r="AB111" s="10">
        <v>46240</v>
      </c>
      <c r="AC111" s="10">
        <v>46245</v>
      </c>
      <c r="AD111" s="10">
        <v>46247</v>
      </c>
      <c r="AE111" s="10">
        <v>46254</v>
      </c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</row>
    <row r="112" spans="1:45" ht="27.6" hidden="1">
      <c r="A112" s="22">
        <v>54</v>
      </c>
      <c r="B112" s="6" t="s">
        <v>145</v>
      </c>
      <c r="C112" s="6" t="s">
        <v>677</v>
      </c>
      <c r="D112" s="9" t="s">
        <v>209</v>
      </c>
      <c r="E112" s="9" t="s">
        <v>210</v>
      </c>
      <c r="F112" s="9" t="s">
        <v>226</v>
      </c>
      <c r="G112" s="6" t="s">
        <v>186</v>
      </c>
      <c r="H112" s="12" t="str">
        <f t="shared" si="2"/>
        <v>MB2003 Business Communication</v>
      </c>
      <c r="I112" s="9" t="s">
        <v>177</v>
      </c>
      <c r="J112" s="9" t="s">
        <v>212</v>
      </c>
      <c r="K112" s="9" t="s">
        <v>151</v>
      </c>
      <c r="L112" s="6">
        <v>2</v>
      </c>
      <c r="M112" s="6">
        <v>2</v>
      </c>
      <c r="N112" s="9" t="s">
        <v>224</v>
      </c>
      <c r="O112" s="9" t="s">
        <v>214</v>
      </c>
      <c r="P112" s="10">
        <v>46203</v>
      </c>
      <c r="Q112" s="10">
        <v>46205</v>
      </c>
      <c r="R112" s="10">
        <v>46210</v>
      </c>
      <c r="S112" s="10">
        <v>46212</v>
      </c>
      <c r="T112" s="10">
        <v>46217</v>
      </c>
      <c r="U112" s="10">
        <v>46219</v>
      </c>
      <c r="V112" s="10">
        <v>46224</v>
      </c>
      <c r="W112" s="10">
        <v>46226</v>
      </c>
      <c r="X112" s="10">
        <v>46226</v>
      </c>
      <c r="Y112" s="10">
        <v>46231</v>
      </c>
      <c r="Z112" s="10">
        <v>46233</v>
      </c>
      <c r="AA112" s="10">
        <v>46238</v>
      </c>
      <c r="AB112" s="10">
        <v>46240</v>
      </c>
      <c r="AC112" s="10">
        <v>46245</v>
      </c>
      <c r="AD112" s="10">
        <v>46247</v>
      </c>
      <c r="AE112" s="10">
        <v>46254</v>
      </c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</row>
    <row r="113" spans="1:45" ht="27.6" hidden="1">
      <c r="A113" s="6">
        <v>55</v>
      </c>
      <c r="B113" s="6" t="s">
        <v>145</v>
      </c>
      <c r="C113" s="6" t="s">
        <v>677</v>
      </c>
      <c r="D113" s="9" t="s">
        <v>209</v>
      </c>
      <c r="E113" s="9" t="s">
        <v>210</v>
      </c>
      <c r="F113" s="9" t="s">
        <v>228</v>
      </c>
      <c r="G113" s="6" t="s">
        <v>186</v>
      </c>
      <c r="H113" s="12" t="str">
        <f t="shared" si="2"/>
        <v>MB2003 Business Communication</v>
      </c>
      <c r="I113" s="9" t="s">
        <v>180</v>
      </c>
      <c r="J113" s="9" t="s">
        <v>212</v>
      </c>
      <c r="K113" s="9" t="s">
        <v>151</v>
      </c>
      <c r="L113" s="6">
        <v>2</v>
      </c>
      <c r="M113" s="6">
        <v>2</v>
      </c>
      <c r="N113" s="9" t="s">
        <v>224</v>
      </c>
      <c r="O113" s="9" t="s">
        <v>229</v>
      </c>
      <c r="P113" s="10">
        <v>46203</v>
      </c>
      <c r="Q113" s="10">
        <v>46205</v>
      </c>
      <c r="R113" s="10">
        <v>46210</v>
      </c>
      <c r="S113" s="10">
        <v>46212</v>
      </c>
      <c r="T113" s="10">
        <v>46217</v>
      </c>
      <c r="U113" s="10">
        <v>46219</v>
      </c>
      <c r="V113" s="10">
        <v>46224</v>
      </c>
      <c r="W113" s="10">
        <v>46226</v>
      </c>
      <c r="X113" s="10">
        <v>46226</v>
      </c>
      <c r="Y113" s="10">
        <v>46231</v>
      </c>
      <c r="Z113" s="10">
        <v>46233</v>
      </c>
      <c r="AA113" s="10">
        <v>46238</v>
      </c>
      <c r="AB113" s="10">
        <v>46240</v>
      </c>
      <c r="AC113" s="10">
        <v>46245</v>
      </c>
      <c r="AD113" s="10">
        <v>46247</v>
      </c>
      <c r="AE113" s="10">
        <v>46254</v>
      </c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</row>
    <row r="114" spans="1:45" ht="27.6" hidden="1">
      <c r="A114" s="6">
        <v>55</v>
      </c>
      <c r="B114" s="6" t="s">
        <v>145</v>
      </c>
      <c r="C114" s="6" t="s">
        <v>677</v>
      </c>
      <c r="D114" s="9" t="s">
        <v>209</v>
      </c>
      <c r="E114" s="9" t="s">
        <v>210</v>
      </c>
      <c r="F114" s="9" t="s">
        <v>228</v>
      </c>
      <c r="G114" s="6" t="s">
        <v>186</v>
      </c>
      <c r="H114" s="12" t="str">
        <f t="shared" si="2"/>
        <v>MB2003 Business Communication</v>
      </c>
      <c r="I114" s="9" t="s">
        <v>180</v>
      </c>
      <c r="J114" s="9" t="s">
        <v>212</v>
      </c>
      <c r="K114" s="9" t="s">
        <v>151</v>
      </c>
      <c r="L114" s="6">
        <v>2</v>
      </c>
      <c r="M114" s="6">
        <v>2</v>
      </c>
      <c r="N114" s="9" t="s">
        <v>224</v>
      </c>
      <c r="O114" s="9" t="s">
        <v>214</v>
      </c>
      <c r="P114" s="10">
        <v>46203</v>
      </c>
      <c r="Q114" s="10">
        <v>46205</v>
      </c>
      <c r="R114" s="10">
        <v>46210</v>
      </c>
      <c r="S114" s="10">
        <v>46212</v>
      </c>
      <c r="T114" s="10">
        <v>46217</v>
      </c>
      <c r="U114" s="10">
        <v>46219</v>
      </c>
      <c r="V114" s="10">
        <v>46224</v>
      </c>
      <c r="W114" s="10">
        <v>46226</v>
      </c>
      <c r="X114" s="10">
        <v>46226</v>
      </c>
      <c r="Y114" s="10">
        <v>46231</v>
      </c>
      <c r="Z114" s="10">
        <v>46233</v>
      </c>
      <c r="AA114" s="10">
        <v>46238</v>
      </c>
      <c r="AB114" s="10">
        <v>46240</v>
      </c>
      <c r="AC114" s="10">
        <v>46245</v>
      </c>
      <c r="AD114" s="10">
        <v>46247</v>
      </c>
      <c r="AE114" s="10">
        <v>46254</v>
      </c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</row>
    <row r="115" spans="1:45" ht="14.4" hidden="1">
      <c r="A115" s="22">
        <v>56</v>
      </c>
      <c r="B115" s="6" t="s">
        <v>145</v>
      </c>
      <c r="C115" s="6" t="s">
        <v>677</v>
      </c>
      <c r="D115" s="9" t="s">
        <v>230</v>
      </c>
      <c r="E115" s="9" t="s">
        <v>231</v>
      </c>
      <c r="F115" s="9" t="s">
        <v>232</v>
      </c>
      <c r="G115" s="6" t="s">
        <v>186</v>
      </c>
      <c r="H115" s="12" t="str">
        <f t="shared" si="2"/>
        <v>MB3001 Community Project</v>
      </c>
      <c r="I115" s="9" t="s">
        <v>233</v>
      </c>
      <c r="J115" s="9" t="s">
        <v>212</v>
      </c>
      <c r="K115" s="9" t="s">
        <v>234</v>
      </c>
      <c r="L115" s="6">
        <v>3</v>
      </c>
      <c r="M115" s="6">
        <v>3</v>
      </c>
      <c r="N115" s="9" t="s">
        <v>235</v>
      </c>
      <c r="O115" s="9" t="s">
        <v>236</v>
      </c>
      <c r="P115" s="10">
        <v>46203</v>
      </c>
      <c r="Q115" s="10">
        <v>46205</v>
      </c>
      <c r="R115" s="10">
        <v>46210</v>
      </c>
      <c r="S115" s="10">
        <v>46212</v>
      </c>
      <c r="T115" s="10">
        <v>46217</v>
      </c>
      <c r="U115" s="10"/>
      <c r="V115" s="10"/>
      <c r="W115" s="10">
        <v>46219</v>
      </c>
      <c r="X115" s="10">
        <v>46224</v>
      </c>
      <c r="Y115" s="10">
        <v>46226</v>
      </c>
      <c r="Z115" s="10">
        <v>46231</v>
      </c>
      <c r="AA115" s="10">
        <v>46233</v>
      </c>
      <c r="AB115" s="10">
        <v>46238</v>
      </c>
      <c r="AC115" s="10"/>
      <c r="AD115" s="10"/>
      <c r="AE115" s="10">
        <v>46240</v>
      </c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</row>
    <row r="116" spans="1:45" ht="14.4" hidden="1">
      <c r="A116" s="22">
        <v>56</v>
      </c>
      <c r="B116" s="6" t="s">
        <v>145</v>
      </c>
      <c r="C116" s="6" t="s">
        <v>677</v>
      </c>
      <c r="D116" s="9" t="s">
        <v>230</v>
      </c>
      <c r="E116" s="9" t="s">
        <v>231</v>
      </c>
      <c r="F116" s="9" t="s">
        <v>232</v>
      </c>
      <c r="G116" s="6" t="s">
        <v>186</v>
      </c>
      <c r="H116" s="12" t="str">
        <f t="shared" si="2"/>
        <v>MB3001 Community Project</v>
      </c>
      <c r="I116" s="9" t="s">
        <v>233</v>
      </c>
      <c r="J116" s="9" t="s">
        <v>212</v>
      </c>
      <c r="K116" s="9" t="s">
        <v>234</v>
      </c>
      <c r="L116" s="6">
        <v>3</v>
      </c>
      <c r="M116" s="6">
        <v>3</v>
      </c>
      <c r="N116" s="9" t="s">
        <v>235</v>
      </c>
      <c r="O116" s="9" t="s">
        <v>237</v>
      </c>
      <c r="P116" s="10">
        <v>46203</v>
      </c>
      <c r="Q116" s="10">
        <v>46205</v>
      </c>
      <c r="R116" s="10">
        <v>46210</v>
      </c>
      <c r="S116" s="10">
        <v>46212</v>
      </c>
      <c r="T116" s="10">
        <v>46217</v>
      </c>
      <c r="U116" s="10"/>
      <c r="V116" s="10"/>
      <c r="W116" s="10">
        <v>46219</v>
      </c>
      <c r="X116" s="10">
        <v>46224</v>
      </c>
      <c r="Y116" s="10">
        <v>46226</v>
      </c>
      <c r="Z116" s="10">
        <v>46231</v>
      </c>
      <c r="AA116" s="10">
        <v>46233</v>
      </c>
      <c r="AB116" s="10">
        <v>46238</v>
      </c>
      <c r="AC116" s="10"/>
      <c r="AD116" s="10"/>
      <c r="AE116" s="10">
        <v>46240</v>
      </c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</row>
    <row r="117" spans="1:45" ht="14.4" hidden="1">
      <c r="A117" s="22">
        <v>56</v>
      </c>
      <c r="B117" s="6" t="s">
        <v>145</v>
      </c>
      <c r="C117" s="6" t="s">
        <v>677</v>
      </c>
      <c r="D117" s="9" t="s">
        <v>230</v>
      </c>
      <c r="E117" s="9" t="s">
        <v>231</v>
      </c>
      <c r="F117" s="9" t="s">
        <v>232</v>
      </c>
      <c r="G117" s="6" t="s">
        <v>186</v>
      </c>
      <c r="H117" s="12" t="str">
        <f t="shared" si="2"/>
        <v>MB3001 Community Project</v>
      </c>
      <c r="I117" s="9" t="s">
        <v>233</v>
      </c>
      <c r="J117" s="9" t="s">
        <v>212</v>
      </c>
      <c r="K117" s="9" t="s">
        <v>234</v>
      </c>
      <c r="L117" s="6">
        <v>3</v>
      </c>
      <c r="M117" s="6">
        <v>3</v>
      </c>
      <c r="N117" s="9" t="s">
        <v>235</v>
      </c>
      <c r="O117" s="9" t="s">
        <v>238</v>
      </c>
      <c r="P117" s="10">
        <v>46203</v>
      </c>
      <c r="Q117" s="10">
        <v>46205</v>
      </c>
      <c r="R117" s="10">
        <v>46210</v>
      </c>
      <c r="S117" s="10">
        <v>46212</v>
      </c>
      <c r="T117" s="10">
        <v>46217</v>
      </c>
      <c r="U117" s="10"/>
      <c r="V117" s="10"/>
      <c r="W117" s="10">
        <v>46219</v>
      </c>
      <c r="X117" s="10">
        <v>46224</v>
      </c>
      <c r="Y117" s="10">
        <v>46226</v>
      </c>
      <c r="Z117" s="10">
        <v>46231</v>
      </c>
      <c r="AA117" s="10">
        <v>46233</v>
      </c>
      <c r="AB117" s="10">
        <v>46238</v>
      </c>
      <c r="AC117" s="10"/>
      <c r="AD117" s="10"/>
      <c r="AE117" s="10">
        <v>46240</v>
      </c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</row>
    <row r="118" spans="1:45" ht="14.4" hidden="1">
      <c r="A118" s="6">
        <v>57</v>
      </c>
      <c r="B118" s="6" t="s">
        <v>145</v>
      </c>
      <c r="C118" s="6" t="s">
        <v>677</v>
      </c>
      <c r="D118" s="9" t="s">
        <v>230</v>
      </c>
      <c r="E118" s="9" t="s">
        <v>231</v>
      </c>
      <c r="F118" s="9" t="s">
        <v>239</v>
      </c>
      <c r="G118" s="6" t="s">
        <v>186</v>
      </c>
      <c r="H118" s="12" t="str">
        <f t="shared" si="2"/>
        <v>MB3001 Community Project</v>
      </c>
      <c r="I118" s="9" t="s">
        <v>240</v>
      </c>
      <c r="J118" s="9" t="s">
        <v>212</v>
      </c>
      <c r="K118" s="9" t="s">
        <v>234</v>
      </c>
      <c r="L118" s="6">
        <v>3</v>
      </c>
      <c r="M118" s="6">
        <v>3</v>
      </c>
      <c r="N118" s="9" t="s">
        <v>235</v>
      </c>
      <c r="O118" s="9" t="s">
        <v>236</v>
      </c>
      <c r="P118" s="10">
        <v>46203</v>
      </c>
      <c r="Q118" s="10">
        <v>46205</v>
      </c>
      <c r="R118" s="10">
        <v>46210</v>
      </c>
      <c r="S118" s="10">
        <v>46212</v>
      </c>
      <c r="T118" s="10">
        <v>46217</v>
      </c>
      <c r="U118" s="10"/>
      <c r="V118" s="10"/>
      <c r="W118" s="10">
        <v>46219</v>
      </c>
      <c r="X118" s="10">
        <v>46224</v>
      </c>
      <c r="Y118" s="10">
        <v>46226</v>
      </c>
      <c r="Z118" s="10">
        <v>46231</v>
      </c>
      <c r="AA118" s="10">
        <v>46233</v>
      </c>
      <c r="AB118" s="10">
        <v>46238</v>
      </c>
      <c r="AC118" s="10"/>
      <c r="AD118" s="10"/>
      <c r="AE118" s="10">
        <v>46240</v>
      </c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</row>
    <row r="119" spans="1:45" ht="14.4" hidden="1">
      <c r="A119" s="6">
        <v>57</v>
      </c>
      <c r="B119" s="6" t="s">
        <v>145</v>
      </c>
      <c r="C119" s="6" t="s">
        <v>677</v>
      </c>
      <c r="D119" s="9" t="s">
        <v>230</v>
      </c>
      <c r="E119" s="9" t="s">
        <v>231</v>
      </c>
      <c r="F119" s="9" t="s">
        <v>239</v>
      </c>
      <c r="G119" s="6" t="s">
        <v>186</v>
      </c>
      <c r="H119" s="12" t="str">
        <f t="shared" si="2"/>
        <v>MB3001 Community Project</v>
      </c>
      <c r="I119" s="9" t="s">
        <v>240</v>
      </c>
      <c r="J119" s="9" t="s">
        <v>212</v>
      </c>
      <c r="K119" s="9" t="s">
        <v>234</v>
      </c>
      <c r="L119" s="6">
        <v>3</v>
      </c>
      <c r="M119" s="6">
        <v>3</v>
      </c>
      <c r="N119" s="9" t="s">
        <v>235</v>
      </c>
      <c r="O119" s="9" t="s">
        <v>237</v>
      </c>
      <c r="P119" s="10">
        <v>46203</v>
      </c>
      <c r="Q119" s="10">
        <v>46205</v>
      </c>
      <c r="R119" s="10">
        <v>46210</v>
      </c>
      <c r="S119" s="10">
        <v>46212</v>
      </c>
      <c r="T119" s="10">
        <v>46217</v>
      </c>
      <c r="U119" s="10"/>
      <c r="V119" s="10"/>
      <c r="W119" s="10">
        <v>46219</v>
      </c>
      <c r="X119" s="10">
        <v>46224</v>
      </c>
      <c r="Y119" s="10">
        <v>46226</v>
      </c>
      <c r="Z119" s="10">
        <v>46231</v>
      </c>
      <c r="AA119" s="10">
        <v>46233</v>
      </c>
      <c r="AB119" s="10">
        <v>46238</v>
      </c>
      <c r="AC119" s="10"/>
      <c r="AD119" s="10"/>
      <c r="AE119" s="10">
        <v>46240</v>
      </c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</row>
    <row r="120" spans="1:45" ht="14.4" hidden="1">
      <c r="A120" s="6">
        <v>57</v>
      </c>
      <c r="B120" s="6" t="s">
        <v>145</v>
      </c>
      <c r="C120" s="6" t="s">
        <v>677</v>
      </c>
      <c r="D120" s="9" t="s">
        <v>230</v>
      </c>
      <c r="E120" s="9" t="s">
        <v>231</v>
      </c>
      <c r="F120" s="9" t="s">
        <v>239</v>
      </c>
      <c r="G120" s="6" t="s">
        <v>186</v>
      </c>
      <c r="H120" s="12" t="str">
        <f t="shared" si="2"/>
        <v>MB3001 Community Project</v>
      </c>
      <c r="I120" s="9" t="s">
        <v>240</v>
      </c>
      <c r="J120" s="9" t="s">
        <v>212</v>
      </c>
      <c r="K120" s="9" t="s">
        <v>234</v>
      </c>
      <c r="L120" s="6">
        <v>3</v>
      </c>
      <c r="M120" s="6">
        <v>3</v>
      </c>
      <c r="N120" s="9" t="s">
        <v>235</v>
      </c>
      <c r="O120" s="9" t="s">
        <v>241</v>
      </c>
      <c r="P120" s="10">
        <v>46203</v>
      </c>
      <c r="Q120" s="10">
        <v>46205</v>
      </c>
      <c r="R120" s="10">
        <v>46210</v>
      </c>
      <c r="S120" s="10">
        <v>46212</v>
      </c>
      <c r="T120" s="10">
        <v>46217</v>
      </c>
      <c r="U120" s="10"/>
      <c r="V120" s="10"/>
      <c r="W120" s="10">
        <v>46219</v>
      </c>
      <c r="X120" s="10">
        <v>46224</v>
      </c>
      <c r="Y120" s="10">
        <v>46226</v>
      </c>
      <c r="Z120" s="10">
        <v>46231</v>
      </c>
      <c r="AA120" s="10">
        <v>46233</v>
      </c>
      <c r="AB120" s="10">
        <v>46238</v>
      </c>
      <c r="AC120" s="10"/>
      <c r="AD120" s="10"/>
      <c r="AE120" s="10">
        <v>46240</v>
      </c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</row>
    <row r="121" spans="1:45" ht="14.4" hidden="1">
      <c r="A121" s="22">
        <v>58</v>
      </c>
      <c r="B121" s="6" t="s">
        <v>145</v>
      </c>
      <c r="C121" s="6" t="s">
        <v>677</v>
      </c>
      <c r="D121" s="9" t="s">
        <v>230</v>
      </c>
      <c r="E121" s="9" t="s">
        <v>231</v>
      </c>
      <c r="F121" s="9" t="s">
        <v>242</v>
      </c>
      <c r="G121" s="6" t="s">
        <v>186</v>
      </c>
      <c r="H121" s="12" t="str">
        <f t="shared" si="2"/>
        <v>MB3001 Community Project</v>
      </c>
      <c r="I121" s="9" t="s">
        <v>243</v>
      </c>
      <c r="J121" s="9" t="s">
        <v>212</v>
      </c>
      <c r="K121" s="9" t="s">
        <v>234</v>
      </c>
      <c r="L121" s="6">
        <v>3</v>
      </c>
      <c r="M121" s="6">
        <v>3</v>
      </c>
      <c r="N121" s="9" t="s">
        <v>235</v>
      </c>
      <c r="O121" s="9" t="s">
        <v>237</v>
      </c>
      <c r="P121" s="10">
        <v>46203</v>
      </c>
      <c r="Q121" s="10">
        <v>46205</v>
      </c>
      <c r="R121" s="10">
        <v>46210</v>
      </c>
      <c r="S121" s="10">
        <v>46212</v>
      </c>
      <c r="T121" s="10">
        <v>46217</v>
      </c>
      <c r="U121" s="10"/>
      <c r="V121" s="10"/>
      <c r="W121" s="10">
        <v>46219</v>
      </c>
      <c r="X121" s="10">
        <v>46224</v>
      </c>
      <c r="Y121" s="10">
        <v>46226</v>
      </c>
      <c r="Z121" s="10">
        <v>46231</v>
      </c>
      <c r="AA121" s="10">
        <v>46233</v>
      </c>
      <c r="AB121" s="10">
        <v>46238</v>
      </c>
      <c r="AC121" s="10"/>
      <c r="AD121" s="10"/>
      <c r="AE121" s="10">
        <v>46240</v>
      </c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</row>
    <row r="122" spans="1:45" ht="14.4" hidden="1">
      <c r="A122" s="22">
        <v>58</v>
      </c>
      <c r="B122" s="6" t="s">
        <v>145</v>
      </c>
      <c r="C122" s="6" t="s">
        <v>677</v>
      </c>
      <c r="D122" s="9" t="s">
        <v>230</v>
      </c>
      <c r="E122" s="9" t="s">
        <v>231</v>
      </c>
      <c r="F122" s="9" t="s">
        <v>242</v>
      </c>
      <c r="G122" s="6" t="s">
        <v>186</v>
      </c>
      <c r="H122" s="12" t="str">
        <f t="shared" si="2"/>
        <v>MB3001 Community Project</v>
      </c>
      <c r="I122" s="9" t="s">
        <v>243</v>
      </c>
      <c r="J122" s="9" t="s">
        <v>212</v>
      </c>
      <c r="K122" s="9" t="s">
        <v>234</v>
      </c>
      <c r="L122" s="6">
        <v>3</v>
      </c>
      <c r="M122" s="6">
        <v>3</v>
      </c>
      <c r="N122" s="9" t="s">
        <v>235</v>
      </c>
      <c r="O122" s="9" t="s">
        <v>244</v>
      </c>
      <c r="P122" s="10">
        <v>46203</v>
      </c>
      <c r="Q122" s="10">
        <v>46205</v>
      </c>
      <c r="R122" s="10">
        <v>46210</v>
      </c>
      <c r="S122" s="10">
        <v>46212</v>
      </c>
      <c r="T122" s="10">
        <v>46217</v>
      </c>
      <c r="U122" s="10"/>
      <c r="V122" s="10"/>
      <c r="W122" s="10">
        <v>46219</v>
      </c>
      <c r="X122" s="10">
        <v>46224</v>
      </c>
      <c r="Y122" s="10">
        <v>46226</v>
      </c>
      <c r="Z122" s="10">
        <v>46231</v>
      </c>
      <c r="AA122" s="10">
        <v>46233</v>
      </c>
      <c r="AB122" s="10">
        <v>46238</v>
      </c>
      <c r="AC122" s="10"/>
      <c r="AD122" s="10"/>
      <c r="AE122" s="10">
        <v>46240</v>
      </c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</row>
    <row r="123" spans="1:45" ht="14.4" hidden="1">
      <c r="A123" s="22">
        <v>58</v>
      </c>
      <c r="B123" s="6" t="s">
        <v>145</v>
      </c>
      <c r="C123" s="6" t="s">
        <v>677</v>
      </c>
      <c r="D123" s="9" t="s">
        <v>230</v>
      </c>
      <c r="E123" s="9" t="s">
        <v>231</v>
      </c>
      <c r="F123" s="9" t="s">
        <v>242</v>
      </c>
      <c r="G123" s="6" t="s">
        <v>186</v>
      </c>
      <c r="H123" s="12" t="str">
        <f t="shared" si="2"/>
        <v>MB3001 Community Project</v>
      </c>
      <c r="I123" s="9" t="s">
        <v>243</v>
      </c>
      <c r="J123" s="9" t="s">
        <v>212</v>
      </c>
      <c r="K123" s="9" t="s">
        <v>234</v>
      </c>
      <c r="L123" s="6">
        <v>3</v>
      </c>
      <c r="M123" s="6">
        <v>3</v>
      </c>
      <c r="N123" s="9" t="s">
        <v>235</v>
      </c>
      <c r="O123" s="9" t="s">
        <v>236</v>
      </c>
      <c r="P123" s="10">
        <v>46203</v>
      </c>
      <c r="Q123" s="10">
        <v>46205</v>
      </c>
      <c r="R123" s="10">
        <v>46210</v>
      </c>
      <c r="S123" s="10">
        <v>46212</v>
      </c>
      <c r="T123" s="10">
        <v>46217</v>
      </c>
      <c r="U123" s="10"/>
      <c r="V123" s="10"/>
      <c r="W123" s="10">
        <v>46219</v>
      </c>
      <c r="X123" s="10">
        <v>46224</v>
      </c>
      <c r="Y123" s="10">
        <v>46226</v>
      </c>
      <c r="Z123" s="10">
        <v>46231</v>
      </c>
      <c r="AA123" s="10">
        <v>46233</v>
      </c>
      <c r="AB123" s="10">
        <v>46238</v>
      </c>
      <c r="AC123" s="10"/>
      <c r="AD123" s="10"/>
      <c r="AE123" s="10">
        <v>46240</v>
      </c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</row>
    <row r="124" spans="1:45" ht="14.4" hidden="1">
      <c r="A124" s="6">
        <v>59</v>
      </c>
      <c r="B124" s="6" t="s">
        <v>145</v>
      </c>
      <c r="C124" s="6" t="s">
        <v>677</v>
      </c>
      <c r="D124" s="9" t="s">
        <v>230</v>
      </c>
      <c r="E124" s="9" t="s">
        <v>231</v>
      </c>
      <c r="F124" s="9" t="s">
        <v>245</v>
      </c>
      <c r="G124" s="6" t="s">
        <v>186</v>
      </c>
      <c r="H124" s="12" t="str">
        <f t="shared" si="2"/>
        <v>MB3001 Community Project</v>
      </c>
      <c r="I124" s="9" t="s">
        <v>246</v>
      </c>
      <c r="J124" s="9" t="s">
        <v>212</v>
      </c>
      <c r="K124" s="9" t="s">
        <v>234</v>
      </c>
      <c r="L124" s="6">
        <v>3</v>
      </c>
      <c r="M124" s="6">
        <v>3</v>
      </c>
      <c r="N124" s="9" t="s">
        <v>235</v>
      </c>
      <c r="O124" s="9" t="s">
        <v>237</v>
      </c>
      <c r="P124" s="10">
        <v>46203</v>
      </c>
      <c r="Q124" s="10">
        <v>46205</v>
      </c>
      <c r="R124" s="10">
        <v>46210</v>
      </c>
      <c r="S124" s="10">
        <v>46212</v>
      </c>
      <c r="T124" s="10">
        <v>46217</v>
      </c>
      <c r="U124" s="10"/>
      <c r="V124" s="10"/>
      <c r="W124" s="10">
        <v>46219</v>
      </c>
      <c r="X124" s="10">
        <v>46224</v>
      </c>
      <c r="Y124" s="10">
        <v>46226</v>
      </c>
      <c r="Z124" s="10">
        <v>46231</v>
      </c>
      <c r="AA124" s="10">
        <v>46233</v>
      </c>
      <c r="AB124" s="10">
        <v>46238</v>
      </c>
      <c r="AC124" s="10"/>
      <c r="AD124" s="10"/>
      <c r="AE124" s="10">
        <v>46240</v>
      </c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</row>
    <row r="125" spans="1:45" ht="14.4" hidden="1">
      <c r="A125" s="6">
        <v>59</v>
      </c>
      <c r="B125" s="6" t="s">
        <v>145</v>
      </c>
      <c r="C125" s="6" t="s">
        <v>677</v>
      </c>
      <c r="D125" s="9" t="s">
        <v>230</v>
      </c>
      <c r="E125" s="9" t="s">
        <v>231</v>
      </c>
      <c r="F125" s="9" t="s">
        <v>245</v>
      </c>
      <c r="G125" s="6" t="s">
        <v>186</v>
      </c>
      <c r="H125" s="12" t="str">
        <f t="shared" si="2"/>
        <v>MB3001 Community Project</v>
      </c>
      <c r="I125" s="9" t="s">
        <v>246</v>
      </c>
      <c r="J125" s="9" t="s">
        <v>212</v>
      </c>
      <c r="K125" s="9" t="s">
        <v>234</v>
      </c>
      <c r="L125" s="6">
        <v>3</v>
      </c>
      <c r="M125" s="6">
        <v>3</v>
      </c>
      <c r="N125" s="9" t="s">
        <v>235</v>
      </c>
      <c r="O125" s="9" t="s">
        <v>244</v>
      </c>
      <c r="P125" s="10">
        <v>46203</v>
      </c>
      <c r="Q125" s="10">
        <v>46205</v>
      </c>
      <c r="R125" s="10">
        <v>46210</v>
      </c>
      <c r="S125" s="10">
        <v>46212</v>
      </c>
      <c r="T125" s="10">
        <v>46217</v>
      </c>
      <c r="U125" s="10"/>
      <c r="V125" s="10"/>
      <c r="W125" s="10">
        <v>46219</v>
      </c>
      <c r="X125" s="10">
        <v>46224</v>
      </c>
      <c r="Y125" s="10">
        <v>46226</v>
      </c>
      <c r="Z125" s="10">
        <v>46231</v>
      </c>
      <c r="AA125" s="10">
        <v>46233</v>
      </c>
      <c r="AB125" s="10">
        <v>46238</v>
      </c>
      <c r="AC125" s="10"/>
      <c r="AD125" s="10"/>
      <c r="AE125" s="10">
        <v>46240</v>
      </c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</row>
    <row r="126" spans="1:45" ht="14.4" hidden="1">
      <c r="A126" s="6">
        <v>59</v>
      </c>
      <c r="B126" s="6" t="s">
        <v>145</v>
      </c>
      <c r="C126" s="6" t="s">
        <v>677</v>
      </c>
      <c r="D126" s="9" t="s">
        <v>230</v>
      </c>
      <c r="E126" s="9" t="s">
        <v>231</v>
      </c>
      <c r="F126" s="9" t="s">
        <v>245</v>
      </c>
      <c r="G126" s="6" t="s">
        <v>186</v>
      </c>
      <c r="H126" s="12" t="str">
        <f t="shared" si="2"/>
        <v>MB3001 Community Project</v>
      </c>
      <c r="I126" s="9" t="s">
        <v>246</v>
      </c>
      <c r="J126" s="9" t="s">
        <v>212</v>
      </c>
      <c r="K126" s="9" t="s">
        <v>234</v>
      </c>
      <c r="L126" s="6">
        <v>3</v>
      </c>
      <c r="M126" s="6">
        <v>3</v>
      </c>
      <c r="N126" s="9" t="s">
        <v>235</v>
      </c>
      <c r="O126" s="9" t="s">
        <v>236</v>
      </c>
      <c r="P126" s="10">
        <v>46203</v>
      </c>
      <c r="Q126" s="10">
        <v>46205</v>
      </c>
      <c r="R126" s="10">
        <v>46210</v>
      </c>
      <c r="S126" s="10">
        <v>46212</v>
      </c>
      <c r="T126" s="10">
        <v>46217</v>
      </c>
      <c r="U126" s="10"/>
      <c r="V126" s="10"/>
      <c r="W126" s="10">
        <v>46219</v>
      </c>
      <c r="X126" s="10">
        <v>46224</v>
      </c>
      <c r="Y126" s="10">
        <v>46226</v>
      </c>
      <c r="Z126" s="10">
        <v>46231</v>
      </c>
      <c r="AA126" s="10">
        <v>46233</v>
      </c>
      <c r="AB126" s="10">
        <v>46238</v>
      </c>
      <c r="AC126" s="10"/>
      <c r="AD126" s="10"/>
      <c r="AE126" s="10">
        <v>46240</v>
      </c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</row>
    <row r="127" spans="1:45" ht="27.6" hidden="1">
      <c r="A127" s="22">
        <v>60</v>
      </c>
      <c r="B127" s="6" t="s">
        <v>145</v>
      </c>
      <c r="C127" s="6" t="s">
        <v>677</v>
      </c>
      <c r="D127" s="9" t="s">
        <v>247</v>
      </c>
      <c r="E127" s="9" t="s">
        <v>248</v>
      </c>
      <c r="F127" s="9" t="s">
        <v>249</v>
      </c>
      <c r="G127" s="6" t="s">
        <v>18</v>
      </c>
      <c r="H127" s="12" t="str">
        <f t="shared" si="2"/>
        <v>MB3002 International Trade and Finance</v>
      </c>
      <c r="I127" s="9" t="s">
        <v>233</v>
      </c>
      <c r="J127" s="9" t="s">
        <v>212</v>
      </c>
      <c r="K127" s="9" t="s">
        <v>109</v>
      </c>
      <c r="L127" s="6">
        <v>3</v>
      </c>
      <c r="M127" s="6">
        <v>3</v>
      </c>
      <c r="N127" s="9" t="s">
        <v>250</v>
      </c>
      <c r="O127" s="9" t="s">
        <v>251</v>
      </c>
      <c r="P127" s="10">
        <v>46203</v>
      </c>
      <c r="Q127" s="10">
        <v>46205</v>
      </c>
      <c r="R127" s="10">
        <v>46210</v>
      </c>
      <c r="S127" s="10">
        <v>46212</v>
      </c>
      <c r="T127" s="10">
        <v>46217</v>
      </c>
      <c r="U127" s="10"/>
      <c r="V127" s="10"/>
      <c r="W127" s="10">
        <v>46219</v>
      </c>
      <c r="X127" s="10">
        <v>46224</v>
      </c>
      <c r="Y127" s="10">
        <v>46226</v>
      </c>
      <c r="Z127" s="10">
        <v>46231</v>
      </c>
      <c r="AA127" s="10">
        <v>46233</v>
      </c>
      <c r="AB127" s="10">
        <v>46238</v>
      </c>
      <c r="AC127" s="10"/>
      <c r="AD127" s="10"/>
      <c r="AE127" s="10">
        <v>46240</v>
      </c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</row>
    <row r="128" spans="1:45" ht="27.6" hidden="1">
      <c r="A128" s="22">
        <v>60</v>
      </c>
      <c r="B128" s="6" t="s">
        <v>145</v>
      </c>
      <c r="C128" s="6" t="s">
        <v>677</v>
      </c>
      <c r="D128" s="9" t="s">
        <v>247</v>
      </c>
      <c r="E128" s="9" t="s">
        <v>248</v>
      </c>
      <c r="F128" s="9" t="s">
        <v>249</v>
      </c>
      <c r="G128" s="6" t="s">
        <v>18</v>
      </c>
      <c r="H128" s="12" t="str">
        <f t="shared" si="2"/>
        <v>MB3002 International Trade and Finance</v>
      </c>
      <c r="I128" s="9" t="s">
        <v>233</v>
      </c>
      <c r="J128" s="9" t="s">
        <v>212</v>
      </c>
      <c r="K128" s="9" t="s">
        <v>109</v>
      </c>
      <c r="L128" s="6">
        <v>3</v>
      </c>
      <c r="M128" s="6">
        <v>3</v>
      </c>
      <c r="N128" s="9" t="s">
        <v>250</v>
      </c>
      <c r="O128" s="9" t="s">
        <v>252</v>
      </c>
      <c r="P128" s="10">
        <v>46203</v>
      </c>
      <c r="Q128" s="10">
        <v>46205</v>
      </c>
      <c r="R128" s="10">
        <v>46210</v>
      </c>
      <c r="S128" s="10">
        <v>46212</v>
      </c>
      <c r="T128" s="10">
        <v>46217</v>
      </c>
      <c r="U128" s="10"/>
      <c r="V128" s="10"/>
      <c r="W128" s="10">
        <v>46219</v>
      </c>
      <c r="X128" s="10">
        <v>46224</v>
      </c>
      <c r="Y128" s="10">
        <v>46226</v>
      </c>
      <c r="Z128" s="10">
        <v>46231</v>
      </c>
      <c r="AA128" s="10">
        <v>46233</v>
      </c>
      <c r="AB128" s="10">
        <v>46238</v>
      </c>
      <c r="AC128" s="10"/>
      <c r="AD128" s="10"/>
      <c r="AE128" s="10">
        <v>46240</v>
      </c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</row>
    <row r="129" spans="1:45" ht="27.6" hidden="1">
      <c r="A129" s="6">
        <v>61</v>
      </c>
      <c r="B129" s="6" t="s">
        <v>145</v>
      </c>
      <c r="C129" s="6" t="s">
        <v>677</v>
      </c>
      <c r="D129" s="9" t="s">
        <v>247</v>
      </c>
      <c r="E129" s="9" t="s">
        <v>248</v>
      </c>
      <c r="F129" s="9" t="s">
        <v>253</v>
      </c>
      <c r="G129" s="6" t="s">
        <v>18</v>
      </c>
      <c r="H129" s="12" t="str">
        <f t="shared" si="2"/>
        <v>MB3002 International Trade and Finance</v>
      </c>
      <c r="I129" s="9" t="s">
        <v>240</v>
      </c>
      <c r="J129" s="9" t="s">
        <v>212</v>
      </c>
      <c r="K129" s="9" t="s">
        <v>109</v>
      </c>
      <c r="L129" s="6">
        <v>3</v>
      </c>
      <c r="M129" s="6">
        <v>3</v>
      </c>
      <c r="N129" s="9" t="s">
        <v>250</v>
      </c>
      <c r="O129" s="9" t="s">
        <v>254</v>
      </c>
      <c r="P129" s="10">
        <v>46203</v>
      </c>
      <c r="Q129" s="10">
        <v>46205</v>
      </c>
      <c r="R129" s="10">
        <v>46210</v>
      </c>
      <c r="S129" s="10">
        <v>46212</v>
      </c>
      <c r="T129" s="10">
        <v>46217</v>
      </c>
      <c r="U129" s="10"/>
      <c r="V129" s="10"/>
      <c r="W129" s="10">
        <v>46219</v>
      </c>
      <c r="X129" s="10">
        <v>46224</v>
      </c>
      <c r="Y129" s="10">
        <v>46226</v>
      </c>
      <c r="Z129" s="10">
        <v>46231</v>
      </c>
      <c r="AA129" s="10">
        <v>46233</v>
      </c>
      <c r="AB129" s="10">
        <v>46238</v>
      </c>
      <c r="AC129" s="10"/>
      <c r="AD129" s="10"/>
      <c r="AE129" s="10">
        <v>46240</v>
      </c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</row>
    <row r="130" spans="1:45" ht="27.6" hidden="1">
      <c r="A130" s="6">
        <v>61</v>
      </c>
      <c r="B130" s="6" t="s">
        <v>145</v>
      </c>
      <c r="C130" s="6" t="s">
        <v>677</v>
      </c>
      <c r="D130" s="9" t="s">
        <v>247</v>
      </c>
      <c r="E130" s="9" t="s">
        <v>248</v>
      </c>
      <c r="F130" s="9" t="s">
        <v>253</v>
      </c>
      <c r="G130" s="6" t="s">
        <v>18</v>
      </c>
      <c r="H130" s="12" t="str">
        <f t="shared" si="2"/>
        <v>MB3002 International Trade and Finance</v>
      </c>
      <c r="I130" s="9" t="s">
        <v>240</v>
      </c>
      <c r="J130" s="9" t="s">
        <v>212</v>
      </c>
      <c r="K130" s="9" t="s">
        <v>109</v>
      </c>
      <c r="L130" s="6">
        <v>3</v>
      </c>
      <c r="M130" s="6">
        <v>3</v>
      </c>
      <c r="N130" s="9" t="s">
        <v>250</v>
      </c>
      <c r="O130" s="9" t="s">
        <v>255</v>
      </c>
      <c r="P130" s="10">
        <v>46203</v>
      </c>
      <c r="Q130" s="10">
        <v>46205</v>
      </c>
      <c r="R130" s="10">
        <v>46210</v>
      </c>
      <c r="S130" s="10">
        <v>46212</v>
      </c>
      <c r="T130" s="10">
        <v>46217</v>
      </c>
      <c r="U130" s="10"/>
      <c r="V130" s="10"/>
      <c r="W130" s="10">
        <v>46219</v>
      </c>
      <c r="X130" s="10">
        <v>46224</v>
      </c>
      <c r="Y130" s="10">
        <v>46226</v>
      </c>
      <c r="Z130" s="10">
        <v>46231</v>
      </c>
      <c r="AA130" s="10">
        <v>46233</v>
      </c>
      <c r="AB130" s="10">
        <v>46238</v>
      </c>
      <c r="AC130" s="10"/>
      <c r="AD130" s="10"/>
      <c r="AE130" s="10">
        <v>46240</v>
      </c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</row>
    <row r="131" spans="1:45" ht="27.6" hidden="1">
      <c r="A131" s="22">
        <v>62</v>
      </c>
      <c r="B131" s="6" t="s">
        <v>145</v>
      </c>
      <c r="C131" s="6" t="s">
        <v>677</v>
      </c>
      <c r="D131" s="9" t="s">
        <v>247</v>
      </c>
      <c r="E131" s="9" t="s">
        <v>248</v>
      </c>
      <c r="F131" s="9" t="s">
        <v>256</v>
      </c>
      <c r="G131" s="6" t="s">
        <v>18</v>
      </c>
      <c r="H131" s="12" t="str">
        <f t="shared" si="2"/>
        <v>MB3002 International Trade and Finance</v>
      </c>
      <c r="I131" s="9" t="s">
        <v>243</v>
      </c>
      <c r="J131" s="9" t="s">
        <v>212</v>
      </c>
      <c r="K131" s="9" t="s">
        <v>109</v>
      </c>
      <c r="L131" s="6">
        <v>3</v>
      </c>
      <c r="M131" s="6">
        <v>3</v>
      </c>
      <c r="N131" s="9" t="s">
        <v>250</v>
      </c>
      <c r="O131" s="9" t="s">
        <v>257</v>
      </c>
      <c r="P131" s="10">
        <v>46203</v>
      </c>
      <c r="Q131" s="10">
        <v>46205</v>
      </c>
      <c r="R131" s="10">
        <v>46210</v>
      </c>
      <c r="S131" s="10">
        <v>46212</v>
      </c>
      <c r="T131" s="10">
        <v>46217</v>
      </c>
      <c r="U131" s="10"/>
      <c r="V131" s="10"/>
      <c r="W131" s="10">
        <v>46219</v>
      </c>
      <c r="X131" s="10">
        <v>46224</v>
      </c>
      <c r="Y131" s="10">
        <v>46226</v>
      </c>
      <c r="Z131" s="10">
        <v>46231</v>
      </c>
      <c r="AA131" s="10">
        <v>46233</v>
      </c>
      <c r="AB131" s="10">
        <v>46238</v>
      </c>
      <c r="AC131" s="10"/>
      <c r="AD131" s="10"/>
      <c r="AE131" s="10">
        <v>46240</v>
      </c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</row>
    <row r="132" spans="1:45" ht="27.6" hidden="1">
      <c r="A132" s="22">
        <v>62</v>
      </c>
      <c r="B132" s="6" t="s">
        <v>145</v>
      </c>
      <c r="C132" s="6" t="s">
        <v>677</v>
      </c>
      <c r="D132" s="9" t="s">
        <v>247</v>
      </c>
      <c r="E132" s="9" t="s">
        <v>248</v>
      </c>
      <c r="F132" s="9" t="s">
        <v>256</v>
      </c>
      <c r="G132" s="6" t="s">
        <v>18</v>
      </c>
      <c r="H132" s="12" t="str">
        <f t="shared" si="2"/>
        <v>MB3002 International Trade and Finance</v>
      </c>
      <c r="I132" s="9" t="s">
        <v>243</v>
      </c>
      <c r="J132" s="9" t="s">
        <v>212</v>
      </c>
      <c r="K132" s="9" t="s">
        <v>109</v>
      </c>
      <c r="L132" s="6">
        <v>3</v>
      </c>
      <c r="M132" s="6">
        <v>3</v>
      </c>
      <c r="N132" s="9" t="s">
        <v>250</v>
      </c>
      <c r="O132" s="9" t="s">
        <v>258</v>
      </c>
      <c r="P132" s="10">
        <v>46203</v>
      </c>
      <c r="Q132" s="10">
        <v>46205</v>
      </c>
      <c r="R132" s="10">
        <v>46210</v>
      </c>
      <c r="S132" s="10">
        <v>46212</v>
      </c>
      <c r="T132" s="10">
        <v>46217</v>
      </c>
      <c r="U132" s="10"/>
      <c r="V132" s="10"/>
      <c r="W132" s="10">
        <v>46219</v>
      </c>
      <c r="X132" s="10">
        <v>46224</v>
      </c>
      <c r="Y132" s="10">
        <v>46226</v>
      </c>
      <c r="Z132" s="10">
        <v>46231</v>
      </c>
      <c r="AA132" s="10">
        <v>46233</v>
      </c>
      <c r="AB132" s="10">
        <v>46238</v>
      </c>
      <c r="AC132" s="10"/>
      <c r="AD132" s="10"/>
      <c r="AE132" s="10">
        <v>46240</v>
      </c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</row>
    <row r="133" spans="1:45" ht="27.6" hidden="1">
      <c r="A133" s="6">
        <v>63</v>
      </c>
      <c r="B133" s="6" t="s">
        <v>145</v>
      </c>
      <c r="C133" s="6" t="s">
        <v>677</v>
      </c>
      <c r="D133" s="9" t="s">
        <v>247</v>
      </c>
      <c r="E133" s="9" t="s">
        <v>248</v>
      </c>
      <c r="F133" s="9" t="s">
        <v>259</v>
      </c>
      <c r="G133" s="6" t="s">
        <v>18</v>
      </c>
      <c r="H133" s="12" t="str">
        <f t="shared" si="2"/>
        <v>MB3002 International Trade and Finance</v>
      </c>
      <c r="I133" s="9" t="s">
        <v>246</v>
      </c>
      <c r="J133" s="9" t="s">
        <v>212</v>
      </c>
      <c r="K133" s="9" t="s">
        <v>109</v>
      </c>
      <c r="L133" s="6">
        <v>3</v>
      </c>
      <c r="M133" s="6">
        <v>3</v>
      </c>
      <c r="N133" s="9" t="s">
        <v>250</v>
      </c>
      <c r="O133" s="9" t="s">
        <v>254</v>
      </c>
      <c r="P133" s="10">
        <v>46203</v>
      </c>
      <c r="Q133" s="10">
        <v>46205</v>
      </c>
      <c r="R133" s="10">
        <v>46210</v>
      </c>
      <c r="S133" s="10">
        <v>46212</v>
      </c>
      <c r="T133" s="10">
        <v>46217</v>
      </c>
      <c r="U133" s="10"/>
      <c r="V133" s="10"/>
      <c r="W133" s="10">
        <v>46219</v>
      </c>
      <c r="X133" s="10">
        <v>46224</v>
      </c>
      <c r="Y133" s="10">
        <v>46226</v>
      </c>
      <c r="Z133" s="10">
        <v>46231</v>
      </c>
      <c r="AA133" s="10">
        <v>46233</v>
      </c>
      <c r="AB133" s="10">
        <v>46238</v>
      </c>
      <c r="AC133" s="10"/>
      <c r="AD133" s="10"/>
      <c r="AE133" s="10">
        <v>46240</v>
      </c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</row>
    <row r="134" spans="1:45" ht="27.6" hidden="1">
      <c r="A134" s="6">
        <v>63</v>
      </c>
      <c r="B134" s="6" t="s">
        <v>145</v>
      </c>
      <c r="C134" s="6" t="s">
        <v>677</v>
      </c>
      <c r="D134" s="9" t="s">
        <v>247</v>
      </c>
      <c r="E134" s="9" t="s">
        <v>248</v>
      </c>
      <c r="F134" s="9" t="s">
        <v>259</v>
      </c>
      <c r="G134" s="6" t="s">
        <v>18</v>
      </c>
      <c r="H134" s="12" t="str">
        <f t="shared" si="2"/>
        <v>MB3002 International Trade and Finance</v>
      </c>
      <c r="I134" s="9" t="s">
        <v>246</v>
      </c>
      <c r="J134" s="9" t="s">
        <v>212</v>
      </c>
      <c r="K134" s="9" t="s">
        <v>109</v>
      </c>
      <c r="L134" s="6">
        <v>3</v>
      </c>
      <c r="M134" s="6">
        <v>3</v>
      </c>
      <c r="N134" s="9" t="s">
        <v>250</v>
      </c>
      <c r="O134" s="9" t="s">
        <v>255</v>
      </c>
      <c r="P134" s="10">
        <v>46203</v>
      </c>
      <c r="Q134" s="10">
        <v>46205</v>
      </c>
      <c r="R134" s="10">
        <v>46210</v>
      </c>
      <c r="S134" s="10">
        <v>46212</v>
      </c>
      <c r="T134" s="10">
        <v>46217</v>
      </c>
      <c r="U134" s="10"/>
      <c r="V134" s="10"/>
      <c r="W134" s="10">
        <v>46219</v>
      </c>
      <c r="X134" s="10">
        <v>46224</v>
      </c>
      <c r="Y134" s="10">
        <v>46226</v>
      </c>
      <c r="Z134" s="10">
        <v>46231</v>
      </c>
      <c r="AA134" s="10">
        <v>46233</v>
      </c>
      <c r="AB134" s="10">
        <v>46238</v>
      </c>
      <c r="AC134" s="10"/>
      <c r="AD134" s="10"/>
      <c r="AE134" s="10">
        <v>46240</v>
      </c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</row>
    <row r="135" spans="1:45" ht="41.4" hidden="1">
      <c r="A135" s="22">
        <v>64</v>
      </c>
      <c r="B135" s="6" t="s">
        <v>145</v>
      </c>
      <c r="C135" s="6" t="s">
        <v>677</v>
      </c>
      <c r="D135" s="9" t="s">
        <v>260</v>
      </c>
      <c r="E135" s="9" t="s">
        <v>261</v>
      </c>
      <c r="F135" s="9" t="s">
        <v>262</v>
      </c>
      <c r="G135" s="6" t="s">
        <v>45</v>
      </c>
      <c r="H135" s="12" t="str">
        <f t="shared" si="2"/>
        <v>MB3003 Business Sustainability Management &amp; Agile Organisation</v>
      </c>
      <c r="I135" s="9" t="s">
        <v>233</v>
      </c>
      <c r="J135" s="9" t="s">
        <v>212</v>
      </c>
      <c r="K135" s="9" t="s">
        <v>133</v>
      </c>
      <c r="L135" s="6">
        <v>3</v>
      </c>
      <c r="M135" s="6">
        <v>3</v>
      </c>
      <c r="N135" s="9" t="s">
        <v>263</v>
      </c>
      <c r="O135" s="9" t="s">
        <v>264</v>
      </c>
      <c r="P135" s="10">
        <v>46203</v>
      </c>
      <c r="Q135" s="10">
        <v>46205</v>
      </c>
      <c r="R135" s="10">
        <v>46210</v>
      </c>
      <c r="S135" s="10">
        <v>46212</v>
      </c>
      <c r="T135" s="10">
        <v>46217</v>
      </c>
      <c r="U135" s="10"/>
      <c r="V135" s="10"/>
      <c r="W135" s="10">
        <v>46219</v>
      </c>
      <c r="X135" s="10">
        <v>46224</v>
      </c>
      <c r="Y135" s="10">
        <v>46226</v>
      </c>
      <c r="Z135" s="10">
        <v>46231</v>
      </c>
      <c r="AA135" s="10">
        <v>46233</v>
      </c>
      <c r="AB135" s="10">
        <v>46238</v>
      </c>
      <c r="AC135" s="10"/>
      <c r="AD135" s="10"/>
      <c r="AE135" s="10">
        <v>46240</v>
      </c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</row>
    <row r="136" spans="1:45" ht="41.4" hidden="1">
      <c r="A136" s="22">
        <v>64</v>
      </c>
      <c r="B136" s="6" t="s">
        <v>145</v>
      </c>
      <c r="C136" s="6" t="s">
        <v>677</v>
      </c>
      <c r="D136" s="9" t="s">
        <v>260</v>
      </c>
      <c r="E136" s="9" t="s">
        <v>261</v>
      </c>
      <c r="F136" s="9" t="s">
        <v>262</v>
      </c>
      <c r="G136" s="6" t="s">
        <v>45</v>
      </c>
      <c r="H136" s="12" t="str">
        <f t="shared" si="2"/>
        <v>MB3003 Business Sustainability Management &amp; Agile Organisation</v>
      </c>
      <c r="I136" s="9" t="s">
        <v>233</v>
      </c>
      <c r="J136" s="9" t="s">
        <v>212</v>
      </c>
      <c r="K136" s="9" t="s">
        <v>133</v>
      </c>
      <c r="L136" s="6">
        <v>3</v>
      </c>
      <c r="M136" s="6">
        <v>3</v>
      </c>
      <c r="N136" s="9" t="s">
        <v>263</v>
      </c>
      <c r="O136" s="9" t="s">
        <v>265</v>
      </c>
      <c r="P136" s="10">
        <v>46203</v>
      </c>
      <c r="Q136" s="10">
        <v>46205</v>
      </c>
      <c r="R136" s="10">
        <v>46210</v>
      </c>
      <c r="S136" s="10">
        <v>46212</v>
      </c>
      <c r="T136" s="10">
        <v>46217</v>
      </c>
      <c r="U136" s="10"/>
      <c r="V136" s="10"/>
      <c r="W136" s="10">
        <v>46219</v>
      </c>
      <c r="X136" s="10">
        <v>46224</v>
      </c>
      <c r="Y136" s="10">
        <v>46226</v>
      </c>
      <c r="Z136" s="10">
        <v>46231</v>
      </c>
      <c r="AA136" s="10">
        <v>46233</v>
      </c>
      <c r="AB136" s="10">
        <v>46238</v>
      </c>
      <c r="AC136" s="10"/>
      <c r="AD136" s="10"/>
      <c r="AE136" s="10">
        <v>46240</v>
      </c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</row>
    <row r="137" spans="1:45" ht="41.4" hidden="1">
      <c r="A137" s="6">
        <v>65</v>
      </c>
      <c r="B137" s="6" t="s">
        <v>145</v>
      </c>
      <c r="C137" s="6" t="s">
        <v>677</v>
      </c>
      <c r="D137" s="9" t="s">
        <v>260</v>
      </c>
      <c r="E137" s="9" t="s">
        <v>261</v>
      </c>
      <c r="F137" s="9" t="s">
        <v>266</v>
      </c>
      <c r="G137" s="6" t="s">
        <v>45</v>
      </c>
      <c r="H137" s="12" t="str">
        <f t="shared" si="2"/>
        <v>MB3003 Business Sustainability Management &amp; Agile Organisation</v>
      </c>
      <c r="I137" s="9" t="s">
        <v>240</v>
      </c>
      <c r="J137" s="9" t="s">
        <v>212</v>
      </c>
      <c r="K137" s="9" t="s">
        <v>133</v>
      </c>
      <c r="L137" s="6">
        <v>3</v>
      </c>
      <c r="M137" s="6">
        <v>3</v>
      </c>
      <c r="N137" s="9" t="s">
        <v>263</v>
      </c>
      <c r="O137" s="9" t="s">
        <v>267</v>
      </c>
      <c r="P137" s="10">
        <v>46203</v>
      </c>
      <c r="Q137" s="10">
        <v>46205</v>
      </c>
      <c r="R137" s="10">
        <v>46210</v>
      </c>
      <c r="S137" s="10">
        <v>46212</v>
      </c>
      <c r="T137" s="10">
        <v>46217</v>
      </c>
      <c r="U137" s="10"/>
      <c r="V137" s="10"/>
      <c r="W137" s="10">
        <v>46219</v>
      </c>
      <c r="X137" s="10">
        <v>46224</v>
      </c>
      <c r="Y137" s="10">
        <v>46226</v>
      </c>
      <c r="Z137" s="10">
        <v>46231</v>
      </c>
      <c r="AA137" s="10">
        <v>46233</v>
      </c>
      <c r="AB137" s="10">
        <v>46238</v>
      </c>
      <c r="AC137" s="10"/>
      <c r="AD137" s="10"/>
      <c r="AE137" s="10">
        <v>46240</v>
      </c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</row>
    <row r="138" spans="1:45" ht="41.4" hidden="1">
      <c r="A138" s="6">
        <v>65</v>
      </c>
      <c r="B138" s="6" t="s">
        <v>145</v>
      </c>
      <c r="C138" s="6" t="s">
        <v>677</v>
      </c>
      <c r="D138" s="9" t="s">
        <v>260</v>
      </c>
      <c r="E138" s="9" t="s">
        <v>261</v>
      </c>
      <c r="F138" s="9" t="s">
        <v>266</v>
      </c>
      <c r="G138" s="6" t="s">
        <v>45</v>
      </c>
      <c r="H138" s="12" t="str">
        <f t="shared" si="2"/>
        <v>MB3003 Business Sustainability Management &amp; Agile Organisation</v>
      </c>
      <c r="I138" s="9" t="s">
        <v>240</v>
      </c>
      <c r="J138" s="9" t="s">
        <v>212</v>
      </c>
      <c r="K138" s="9" t="s">
        <v>133</v>
      </c>
      <c r="L138" s="6">
        <v>3</v>
      </c>
      <c r="M138" s="6">
        <v>3</v>
      </c>
      <c r="N138" s="9" t="s">
        <v>263</v>
      </c>
      <c r="O138" s="9" t="s">
        <v>268</v>
      </c>
      <c r="P138" s="10">
        <v>46203</v>
      </c>
      <c r="Q138" s="10">
        <v>46205</v>
      </c>
      <c r="R138" s="10">
        <v>46210</v>
      </c>
      <c r="S138" s="10">
        <v>46212</v>
      </c>
      <c r="T138" s="10">
        <v>46217</v>
      </c>
      <c r="U138" s="10"/>
      <c r="V138" s="10"/>
      <c r="W138" s="10">
        <v>46219</v>
      </c>
      <c r="X138" s="10">
        <v>46224</v>
      </c>
      <c r="Y138" s="10">
        <v>46226</v>
      </c>
      <c r="Z138" s="10">
        <v>46231</v>
      </c>
      <c r="AA138" s="10">
        <v>46233</v>
      </c>
      <c r="AB138" s="10">
        <v>46238</v>
      </c>
      <c r="AC138" s="10"/>
      <c r="AD138" s="10"/>
      <c r="AE138" s="10">
        <v>46240</v>
      </c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</row>
    <row r="139" spans="1:45" ht="41.4" hidden="1">
      <c r="A139" s="22">
        <v>66</v>
      </c>
      <c r="B139" s="6" t="s">
        <v>145</v>
      </c>
      <c r="C139" s="6" t="s">
        <v>677</v>
      </c>
      <c r="D139" s="9" t="s">
        <v>260</v>
      </c>
      <c r="E139" s="9" t="s">
        <v>261</v>
      </c>
      <c r="F139" s="9" t="s">
        <v>269</v>
      </c>
      <c r="G139" s="6" t="s">
        <v>45</v>
      </c>
      <c r="H139" s="12" t="str">
        <f t="shared" si="2"/>
        <v>MB3003 Business Sustainability Management &amp; Agile Organisation</v>
      </c>
      <c r="I139" s="9" t="s">
        <v>243</v>
      </c>
      <c r="J139" s="9" t="s">
        <v>212</v>
      </c>
      <c r="K139" s="9" t="s">
        <v>133</v>
      </c>
      <c r="L139" s="6">
        <v>3</v>
      </c>
      <c r="M139" s="6">
        <v>3</v>
      </c>
      <c r="N139" s="9" t="s">
        <v>263</v>
      </c>
      <c r="O139" s="9" t="s">
        <v>270</v>
      </c>
      <c r="P139" s="10">
        <v>46203</v>
      </c>
      <c r="Q139" s="10">
        <v>46205</v>
      </c>
      <c r="R139" s="10">
        <v>46210</v>
      </c>
      <c r="S139" s="10">
        <v>46212</v>
      </c>
      <c r="T139" s="10">
        <v>46217</v>
      </c>
      <c r="U139" s="10"/>
      <c r="V139" s="10"/>
      <c r="W139" s="10">
        <v>46219</v>
      </c>
      <c r="X139" s="10">
        <v>46224</v>
      </c>
      <c r="Y139" s="10">
        <v>46226</v>
      </c>
      <c r="Z139" s="10">
        <v>46231</v>
      </c>
      <c r="AA139" s="10">
        <v>46233</v>
      </c>
      <c r="AB139" s="10">
        <v>46238</v>
      </c>
      <c r="AC139" s="10"/>
      <c r="AD139" s="10"/>
      <c r="AE139" s="10">
        <v>46240</v>
      </c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</row>
    <row r="140" spans="1:45" ht="41.4" hidden="1">
      <c r="A140" s="22">
        <v>66</v>
      </c>
      <c r="B140" s="6" t="s">
        <v>145</v>
      </c>
      <c r="C140" s="6" t="s">
        <v>677</v>
      </c>
      <c r="D140" s="9" t="s">
        <v>260</v>
      </c>
      <c r="E140" s="9" t="s">
        <v>261</v>
      </c>
      <c r="F140" s="9" t="s">
        <v>269</v>
      </c>
      <c r="G140" s="6" t="s">
        <v>45</v>
      </c>
      <c r="H140" s="12" t="str">
        <f t="shared" si="2"/>
        <v>MB3003 Business Sustainability Management &amp; Agile Organisation</v>
      </c>
      <c r="I140" s="9" t="s">
        <v>243</v>
      </c>
      <c r="J140" s="9" t="s">
        <v>212</v>
      </c>
      <c r="K140" s="9" t="s">
        <v>133</v>
      </c>
      <c r="L140" s="6">
        <v>3</v>
      </c>
      <c r="M140" s="6">
        <v>3</v>
      </c>
      <c r="N140" s="9" t="s">
        <v>263</v>
      </c>
      <c r="O140" s="9" t="s">
        <v>271</v>
      </c>
      <c r="P140" s="10">
        <v>46203</v>
      </c>
      <c r="Q140" s="10">
        <v>46205</v>
      </c>
      <c r="R140" s="10">
        <v>46210</v>
      </c>
      <c r="S140" s="10">
        <v>46212</v>
      </c>
      <c r="T140" s="10">
        <v>46217</v>
      </c>
      <c r="U140" s="10"/>
      <c r="V140" s="10"/>
      <c r="W140" s="10">
        <v>46219</v>
      </c>
      <c r="X140" s="10">
        <v>46224</v>
      </c>
      <c r="Y140" s="10">
        <v>46226</v>
      </c>
      <c r="Z140" s="10">
        <v>46231</v>
      </c>
      <c r="AA140" s="10">
        <v>46233</v>
      </c>
      <c r="AB140" s="10">
        <v>46238</v>
      </c>
      <c r="AC140" s="10"/>
      <c r="AD140" s="10"/>
      <c r="AE140" s="10">
        <v>46240</v>
      </c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</row>
    <row r="141" spans="1:45" ht="41.4" hidden="1">
      <c r="A141" s="6">
        <v>67</v>
      </c>
      <c r="B141" s="6" t="s">
        <v>145</v>
      </c>
      <c r="C141" s="6" t="s">
        <v>677</v>
      </c>
      <c r="D141" s="9" t="s">
        <v>260</v>
      </c>
      <c r="E141" s="9" t="s">
        <v>261</v>
      </c>
      <c r="F141" s="9" t="s">
        <v>272</v>
      </c>
      <c r="G141" s="6" t="s">
        <v>45</v>
      </c>
      <c r="H141" s="12" t="str">
        <f t="shared" si="2"/>
        <v>MB3003 Business Sustainability Management &amp; Agile Organisation</v>
      </c>
      <c r="I141" s="9" t="s">
        <v>246</v>
      </c>
      <c r="J141" s="9" t="s">
        <v>212</v>
      </c>
      <c r="K141" s="9" t="s">
        <v>133</v>
      </c>
      <c r="L141" s="6">
        <v>3</v>
      </c>
      <c r="M141" s="6">
        <v>3</v>
      </c>
      <c r="N141" s="9" t="s">
        <v>263</v>
      </c>
      <c r="O141" s="9" t="s">
        <v>273</v>
      </c>
      <c r="P141" s="10">
        <v>46203</v>
      </c>
      <c r="Q141" s="10">
        <v>46205</v>
      </c>
      <c r="R141" s="10">
        <v>46210</v>
      </c>
      <c r="S141" s="10">
        <v>46212</v>
      </c>
      <c r="T141" s="10">
        <v>46217</v>
      </c>
      <c r="U141" s="10"/>
      <c r="V141" s="10"/>
      <c r="W141" s="10">
        <v>46219</v>
      </c>
      <c r="X141" s="10">
        <v>46224</v>
      </c>
      <c r="Y141" s="10">
        <v>46226</v>
      </c>
      <c r="Z141" s="10">
        <v>46231</v>
      </c>
      <c r="AA141" s="10">
        <v>46233</v>
      </c>
      <c r="AB141" s="10">
        <v>46238</v>
      </c>
      <c r="AC141" s="10"/>
      <c r="AD141" s="10"/>
      <c r="AE141" s="10">
        <v>46240</v>
      </c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</row>
    <row r="142" spans="1:45" ht="41.4" hidden="1">
      <c r="A142" s="6">
        <v>67</v>
      </c>
      <c r="B142" s="6" t="s">
        <v>145</v>
      </c>
      <c r="C142" s="6" t="s">
        <v>677</v>
      </c>
      <c r="D142" s="9" t="s">
        <v>260</v>
      </c>
      <c r="E142" s="9" t="s">
        <v>261</v>
      </c>
      <c r="F142" s="9" t="s">
        <v>272</v>
      </c>
      <c r="G142" s="6" t="s">
        <v>45</v>
      </c>
      <c r="H142" s="12" t="str">
        <f t="shared" si="2"/>
        <v>MB3003 Business Sustainability Management &amp; Agile Organisation</v>
      </c>
      <c r="I142" s="9" t="s">
        <v>246</v>
      </c>
      <c r="J142" s="9" t="s">
        <v>212</v>
      </c>
      <c r="K142" s="9" t="s">
        <v>133</v>
      </c>
      <c r="L142" s="6">
        <v>3</v>
      </c>
      <c r="M142" s="6">
        <v>3</v>
      </c>
      <c r="N142" s="9" t="s">
        <v>263</v>
      </c>
      <c r="O142" s="9" t="s">
        <v>274</v>
      </c>
      <c r="P142" s="10">
        <v>46203</v>
      </c>
      <c r="Q142" s="10">
        <v>46205</v>
      </c>
      <c r="R142" s="10">
        <v>46210</v>
      </c>
      <c r="S142" s="10">
        <v>46212</v>
      </c>
      <c r="T142" s="10">
        <v>46217</v>
      </c>
      <c r="U142" s="10"/>
      <c r="V142" s="10"/>
      <c r="W142" s="10">
        <v>46219</v>
      </c>
      <c r="X142" s="10">
        <v>46224</v>
      </c>
      <c r="Y142" s="10">
        <v>46226</v>
      </c>
      <c r="Z142" s="10">
        <v>46231</v>
      </c>
      <c r="AA142" s="10">
        <v>46233</v>
      </c>
      <c r="AB142" s="10">
        <v>46238</v>
      </c>
      <c r="AC142" s="10"/>
      <c r="AD142" s="10"/>
      <c r="AE142" s="10">
        <v>46240</v>
      </c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</row>
    <row r="143" spans="1:45" ht="41.4" hidden="1">
      <c r="A143" s="22">
        <v>68</v>
      </c>
      <c r="B143" s="6" t="s">
        <v>145</v>
      </c>
      <c r="C143" s="6" t="s">
        <v>677</v>
      </c>
      <c r="D143" s="9" t="s">
        <v>260</v>
      </c>
      <c r="E143" s="9" t="s">
        <v>261</v>
      </c>
      <c r="F143" s="9" t="s">
        <v>275</v>
      </c>
      <c r="G143" s="6" t="s">
        <v>45</v>
      </c>
      <c r="H143" s="12" t="str">
        <f t="shared" si="2"/>
        <v>MB3003 Business Sustainability Management &amp; Agile Organisation</v>
      </c>
      <c r="I143" s="9" t="s">
        <v>233</v>
      </c>
      <c r="J143" s="9" t="s">
        <v>212</v>
      </c>
      <c r="K143" s="9" t="s">
        <v>109</v>
      </c>
      <c r="L143" s="6">
        <v>3</v>
      </c>
      <c r="M143" s="6">
        <v>3</v>
      </c>
      <c r="N143" s="9" t="s">
        <v>276</v>
      </c>
      <c r="O143" s="9" t="s">
        <v>277</v>
      </c>
      <c r="P143" s="10">
        <v>46203</v>
      </c>
      <c r="Q143" s="10">
        <v>46205</v>
      </c>
      <c r="R143" s="10">
        <v>46210</v>
      </c>
      <c r="S143" s="10">
        <v>46212</v>
      </c>
      <c r="T143" s="10">
        <v>46217</v>
      </c>
      <c r="U143" s="10"/>
      <c r="V143" s="10"/>
      <c r="W143" s="10">
        <v>46219</v>
      </c>
      <c r="X143" s="10">
        <v>46224</v>
      </c>
      <c r="Y143" s="10">
        <v>46226</v>
      </c>
      <c r="Z143" s="10">
        <v>46231</v>
      </c>
      <c r="AA143" s="10">
        <v>46233</v>
      </c>
      <c r="AB143" s="10">
        <v>46238</v>
      </c>
      <c r="AC143" s="10"/>
      <c r="AD143" s="10"/>
      <c r="AE143" s="10">
        <v>46240</v>
      </c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</row>
    <row r="144" spans="1:45" ht="41.4" hidden="1">
      <c r="A144" s="22">
        <v>68</v>
      </c>
      <c r="B144" s="6" t="s">
        <v>145</v>
      </c>
      <c r="C144" s="6" t="s">
        <v>677</v>
      </c>
      <c r="D144" s="9" t="s">
        <v>260</v>
      </c>
      <c r="E144" s="9" t="s">
        <v>261</v>
      </c>
      <c r="F144" s="9" t="s">
        <v>275</v>
      </c>
      <c r="G144" s="6" t="s">
        <v>45</v>
      </c>
      <c r="H144" s="12" t="str">
        <f t="shared" si="2"/>
        <v>MB3003 Business Sustainability Management &amp; Agile Organisation</v>
      </c>
      <c r="I144" s="9" t="s">
        <v>233</v>
      </c>
      <c r="J144" s="9" t="s">
        <v>212</v>
      </c>
      <c r="K144" s="9" t="s">
        <v>109</v>
      </c>
      <c r="L144" s="6">
        <v>3</v>
      </c>
      <c r="M144" s="6">
        <v>3</v>
      </c>
      <c r="N144" s="9" t="s">
        <v>276</v>
      </c>
      <c r="O144" s="9" t="s">
        <v>278</v>
      </c>
      <c r="P144" s="10">
        <v>46203</v>
      </c>
      <c r="Q144" s="10">
        <v>46205</v>
      </c>
      <c r="R144" s="10">
        <v>46210</v>
      </c>
      <c r="S144" s="10">
        <v>46212</v>
      </c>
      <c r="T144" s="10">
        <v>46217</v>
      </c>
      <c r="U144" s="10"/>
      <c r="V144" s="10"/>
      <c r="W144" s="10">
        <v>46219</v>
      </c>
      <c r="X144" s="10">
        <v>46224</v>
      </c>
      <c r="Y144" s="10">
        <v>46226</v>
      </c>
      <c r="Z144" s="10">
        <v>46231</v>
      </c>
      <c r="AA144" s="10">
        <v>46233</v>
      </c>
      <c r="AB144" s="10">
        <v>46238</v>
      </c>
      <c r="AC144" s="10"/>
      <c r="AD144" s="10"/>
      <c r="AE144" s="10">
        <v>46240</v>
      </c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</row>
    <row r="145" spans="1:45" ht="41.4" hidden="1">
      <c r="A145" s="6">
        <v>69</v>
      </c>
      <c r="B145" s="6" t="s">
        <v>145</v>
      </c>
      <c r="C145" s="6" t="s">
        <v>677</v>
      </c>
      <c r="D145" s="9" t="s">
        <v>260</v>
      </c>
      <c r="E145" s="9" t="s">
        <v>261</v>
      </c>
      <c r="F145" s="9" t="s">
        <v>279</v>
      </c>
      <c r="G145" s="6" t="s">
        <v>45</v>
      </c>
      <c r="H145" s="12" t="str">
        <f t="shared" si="2"/>
        <v>MB3003 Business Sustainability Management &amp; Agile Organisation</v>
      </c>
      <c r="I145" s="9" t="s">
        <v>240</v>
      </c>
      <c r="J145" s="9" t="s">
        <v>212</v>
      </c>
      <c r="K145" s="9" t="s">
        <v>109</v>
      </c>
      <c r="L145" s="6">
        <v>3</v>
      </c>
      <c r="M145" s="6">
        <v>3</v>
      </c>
      <c r="N145" s="9" t="s">
        <v>276</v>
      </c>
      <c r="O145" s="9" t="s">
        <v>271</v>
      </c>
      <c r="P145" s="10">
        <v>46203</v>
      </c>
      <c r="Q145" s="10">
        <v>46205</v>
      </c>
      <c r="R145" s="10">
        <v>46210</v>
      </c>
      <c r="S145" s="10">
        <v>46212</v>
      </c>
      <c r="T145" s="10">
        <v>46217</v>
      </c>
      <c r="U145" s="10"/>
      <c r="V145" s="10"/>
      <c r="W145" s="10">
        <v>46219</v>
      </c>
      <c r="X145" s="10">
        <v>46224</v>
      </c>
      <c r="Y145" s="10">
        <v>46226</v>
      </c>
      <c r="Z145" s="10">
        <v>46231</v>
      </c>
      <c r="AA145" s="10">
        <v>46233</v>
      </c>
      <c r="AB145" s="10">
        <v>46238</v>
      </c>
      <c r="AC145" s="10"/>
      <c r="AD145" s="10"/>
      <c r="AE145" s="10">
        <v>46240</v>
      </c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</row>
    <row r="146" spans="1:45" ht="41.4" hidden="1">
      <c r="A146" s="6">
        <v>69</v>
      </c>
      <c r="B146" s="6" t="s">
        <v>145</v>
      </c>
      <c r="C146" s="6" t="s">
        <v>677</v>
      </c>
      <c r="D146" s="9" t="s">
        <v>260</v>
      </c>
      <c r="E146" s="9" t="s">
        <v>261</v>
      </c>
      <c r="F146" s="9" t="s">
        <v>279</v>
      </c>
      <c r="G146" s="6" t="s">
        <v>45</v>
      </c>
      <c r="H146" s="12" t="str">
        <f t="shared" si="2"/>
        <v>MB3003 Business Sustainability Management &amp; Agile Organisation</v>
      </c>
      <c r="I146" s="9" t="s">
        <v>240</v>
      </c>
      <c r="J146" s="9" t="s">
        <v>212</v>
      </c>
      <c r="K146" s="9" t="s">
        <v>109</v>
      </c>
      <c r="L146" s="6">
        <v>3</v>
      </c>
      <c r="M146" s="6">
        <v>3</v>
      </c>
      <c r="N146" s="9" t="s">
        <v>276</v>
      </c>
      <c r="O146" s="9" t="s">
        <v>280</v>
      </c>
      <c r="P146" s="10">
        <v>46203</v>
      </c>
      <c r="Q146" s="10">
        <v>46205</v>
      </c>
      <c r="R146" s="10">
        <v>46210</v>
      </c>
      <c r="S146" s="10">
        <v>46212</v>
      </c>
      <c r="T146" s="10">
        <v>46217</v>
      </c>
      <c r="U146" s="10"/>
      <c r="V146" s="10"/>
      <c r="W146" s="10">
        <v>46219</v>
      </c>
      <c r="X146" s="10">
        <v>46224</v>
      </c>
      <c r="Y146" s="10">
        <v>46226</v>
      </c>
      <c r="Z146" s="10">
        <v>46231</v>
      </c>
      <c r="AA146" s="10">
        <v>46233</v>
      </c>
      <c r="AB146" s="10">
        <v>46238</v>
      </c>
      <c r="AC146" s="10"/>
      <c r="AD146" s="10"/>
      <c r="AE146" s="10">
        <v>46240</v>
      </c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</row>
    <row r="147" spans="1:45" ht="41.4" hidden="1">
      <c r="A147" s="22">
        <v>70</v>
      </c>
      <c r="B147" s="6" t="s">
        <v>145</v>
      </c>
      <c r="C147" s="6" t="s">
        <v>677</v>
      </c>
      <c r="D147" s="9" t="s">
        <v>260</v>
      </c>
      <c r="E147" s="9" t="s">
        <v>261</v>
      </c>
      <c r="F147" s="9" t="s">
        <v>281</v>
      </c>
      <c r="G147" s="6" t="s">
        <v>45</v>
      </c>
      <c r="H147" s="12" t="str">
        <f t="shared" si="2"/>
        <v>MB3003 Business Sustainability Management &amp; Agile Organisation</v>
      </c>
      <c r="I147" s="9" t="s">
        <v>243</v>
      </c>
      <c r="J147" s="9" t="s">
        <v>212</v>
      </c>
      <c r="K147" s="9" t="s">
        <v>109</v>
      </c>
      <c r="L147" s="6">
        <v>3</v>
      </c>
      <c r="M147" s="6">
        <v>3</v>
      </c>
      <c r="N147" s="9" t="s">
        <v>276</v>
      </c>
      <c r="O147" s="9" t="s">
        <v>282</v>
      </c>
      <c r="P147" s="10">
        <v>46203</v>
      </c>
      <c r="Q147" s="10">
        <v>46205</v>
      </c>
      <c r="R147" s="10">
        <v>46210</v>
      </c>
      <c r="S147" s="10">
        <v>46212</v>
      </c>
      <c r="T147" s="10">
        <v>46217</v>
      </c>
      <c r="U147" s="10"/>
      <c r="V147" s="10"/>
      <c r="W147" s="10">
        <v>46219</v>
      </c>
      <c r="X147" s="10">
        <v>46224</v>
      </c>
      <c r="Y147" s="10">
        <v>46226</v>
      </c>
      <c r="Z147" s="10">
        <v>46231</v>
      </c>
      <c r="AA147" s="10">
        <v>46233</v>
      </c>
      <c r="AB147" s="10">
        <v>46238</v>
      </c>
      <c r="AC147" s="10"/>
      <c r="AD147" s="10"/>
      <c r="AE147" s="10">
        <v>46240</v>
      </c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</row>
    <row r="148" spans="1:45" ht="41.4" hidden="1">
      <c r="A148" s="22">
        <v>70</v>
      </c>
      <c r="B148" s="6" t="s">
        <v>145</v>
      </c>
      <c r="C148" s="6" t="s">
        <v>677</v>
      </c>
      <c r="D148" s="9" t="s">
        <v>260</v>
      </c>
      <c r="E148" s="9" t="s">
        <v>261</v>
      </c>
      <c r="F148" s="9" t="s">
        <v>281</v>
      </c>
      <c r="G148" s="6" t="s">
        <v>45</v>
      </c>
      <c r="H148" s="12" t="str">
        <f t="shared" si="2"/>
        <v>MB3003 Business Sustainability Management &amp; Agile Organisation</v>
      </c>
      <c r="I148" s="9" t="s">
        <v>243</v>
      </c>
      <c r="J148" s="9" t="s">
        <v>212</v>
      </c>
      <c r="K148" s="9" t="s">
        <v>109</v>
      </c>
      <c r="L148" s="6">
        <v>3</v>
      </c>
      <c r="M148" s="6">
        <v>3</v>
      </c>
      <c r="N148" s="9" t="s">
        <v>276</v>
      </c>
      <c r="O148" s="9" t="s">
        <v>283</v>
      </c>
      <c r="P148" s="10">
        <v>46203</v>
      </c>
      <c r="Q148" s="10">
        <v>46205</v>
      </c>
      <c r="R148" s="10">
        <v>46210</v>
      </c>
      <c r="S148" s="10">
        <v>46212</v>
      </c>
      <c r="T148" s="10">
        <v>46217</v>
      </c>
      <c r="U148" s="10"/>
      <c r="V148" s="10"/>
      <c r="W148" s="10">
        <v>46219</v>
      </c>
      <c r="X148" s="10">
        <v>46224</v>
      </c>
      <c r="Y148" s="10">
        <v>46226</v>
      </c>
      <c r="Z148" s="10">
        <v>46231</v>
      </c>
      <c r="AA148" s="10">
        <v>46233</v>
      </c>
      <c r="AB148" s="10">
        <v>46238</v>
      </c>
      <c r="AC148" s="10"/>
      <c r="AD148" s="10"/>
      <c r="AE148" s="10">
        <v>46240</v>
      </c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</row>
    <row r="149" spans="1:45" ht="41.4" hidden="1">
      <c r="A149" s="6">
        <v>71</v>
      </c>
      <c r="B149" s="6" t="s">
        <v>145</v>
      </c>
      <c r="C149" s="6" t="s">
        <v>677</v>
      </c>
      <c r="D149" s="9" t="s">
        <v>260</v>
      </c>
      <c r="E149" s="9" t="s">
        <v>261</v>
      </c>
      <c r="F149" s="9" t="s">
        <v>284</v>
      </c>
      <c r="G149" s="6" t="s">
        <v>45</v>
      </c>
      <c r="H149" s="12" t="str">
        <f t="shared" si="2"/>
        <v>MB3003 Business Sustainability Management &amp; Agile Organisation</v>
      </c>
      <c r="I149" s="9" t="s">
        <v>246</v>
      </c>
      <c r="J149" s="9" t="s">
        <v>212</v>
      </c>
      <c r="K149" s="9" t="s">
        <v>109</v>
      </c>
      <c r="L149" s="6">
        <v>3</v>
      </c>
      <c r="M149" s="6">
        <v>3</v>
      </c>
      <c r="N149" s="9" t="s">
        <v>276</v>
      </c>
      <c r="O149" s="9" t="s">
        <v>285</v>
      </c>
      <c r="P149" s="10">
        <v>46203</v>
      </c>
      <c r="Q149" s="10">
        <v>46205</v>
      </c>
      <c r="R149" s="10">
        <v>46210</v>
      </c>
      <c r="S149" s="10">
        <v>46212</v>
      </c>
      <c r="T149" s="10">
        <v>46217</v>
      </c>
      <c r="U149" s="10"/>
      <c r="V149" s="10"/>
      <c r="W149" s="10">
        <v>46219</v>
      </c>
      <c r="X149" s="10">
        <v>46224</v>
      </c>
      <c r="Y149" s="10">
        <v>46226</v>
      </c>
      <c r="Z149" s="10">
        <v>46231</v>
      </c>
      <c r="AA149" s="10">
        <v>46233</v>
      </c>
      <c r="AB149" s="10">
        <v>46238</v>
      </c>
      <c r="AC149" s="10"/>
      <c r="AD149" s="10"/>
      <c r="AE149" s="10">
        <v>46240</v>
      </c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</row>
    <row r="150" spans="1:45" ht="41.4" hidden="1">
      <c r="A150" s="6">
        <v>71</v>
      </c>
      <c r="B150" s="6" t="s">
        <v>145</v>
      </c>
      <c r="C150" s="6" t="s">
        <v>677</v>
      </c>
      <c r="D150" s="9" t="s">
        <v>260</v>
      </c>
      <c r="E150" s="9" t="s">
        <v>261</v>
      </c>
      <c r="F150" s="9" t="s">
        <v>284</v>
      </c>
      <c r="G150" s="6" t="s">
        <v>45</v>
      </c>
      <c r="H150" s="12" t="str">
        <f t="shared" si="2"/>
        <v>MB3003 Business Sustainability Management &amp; Agile Organisation</v>
      </c>
      <c r="I150" s="9" t="s">
        <v>246</v>
      </c>
      <c r="J150" s="9" t="s">
        <v>212</v>
      </c>
      <c r="K150" s="9" t="s">
        <v>109</v>
      </c>
      <c r="L150" s="6">
        <v>3</v>
      </c>
      <c r="M150" s="6">
        <v>3</v>
      </c>
      <c r="N150" s="9" t="s">
        <v>276</v>
      </c>
      <c r="O150" s="9" t="s">
        <v>286</v>
      </c>
      <c r="P150" s="10">
        <v>46203</v>
      </c>
      <c r="Q150" s="10">
        <v>46205</v>
      </c>
      <c r="R150" s="10">
        <v>46210</v>
      </c>
      <c r="S150" s="10">
        <v>46212</v>
      </c>
      <c r="T150" s="10">
        <v>46217</v>
      </c>
      <c r="U150" s="10"/>
      <c r="V150" s="10"/>
      <c r="W150" s="10">
        <v>46219</v>
      </c>
      <c r="X150" s="10">
        <v>46224</v>
      </c>
      <c r="Y150" s="10">
        <v>46226</v>
      </c>
      <c r="Z150" s="10">
        <v>46231</v>
      </c>
      <c r="AA150" s="10">
        <v>46233</v>
      </c>
      <c r="AB150" s="10">
        <v>46238</v>
      </c>
      <c r="AC150" s="10"/>
      <c r="AD150" s="10"/>
      <c r="AE150" s="10">
        <v>46240</v>
      </c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</row>
    <row r="151" spans="1:45" ht="27.6" hidden="1">
      <c r="A151" s="22">
        <v>72</v>
      </c>
      <c r="B151" s="6" t="s">
        <v>145</v>
      </c>
      <c r="C151" s="6" t="s">
        <v>677</v>
      </c>
      <c r="D151" s="9" t="s">
        <v>287</v>
      </c>
      <c r="E151" s="9" t="s">
        <v>288</v>
      </c>
      <c r="F151" s="9" t="s">
        <v>289</v>
      </c>
      <c r="G151" s="6" t="s">
        <v>1</v>
      </c>
      <c r="H151" s="12" t="str">
        <f t="shared" si="2"/>
        <v>MB3004 Business Research Method</v>
      </c>
      <c r="I151" s="9" t="s">
        <v>233</v>
      </c>
      <c r="J151" s="9" t="s">
        <v>150</v>
      </c>
      <c r="K151" s="9" t="s">
        <v>172</v>
      </c>
      <c r="L151" s="6">
        <v>3</v>
      </c>
      <c r="M151" s="6">
        <v>3</v>
      </c>
      <c r="N151" s="9" t="s">
        <v>290</v>
      </c>
      <c r="O151" s="9" t="s">
        <v>291</v>
      </c>
      <c r="P151" s="10">
        <v>46202</v>
      </c>
      <c r="Q151" s="10">
        <v>46204</v>
      </c>
      <c r="R151" s="10">
        <v>46209</v>
      </c>
      <c r="S151" s="10">
        <v>46211</v>
      </c>
      <c r="T151" s="10">
        <v>46216</v>
      </c>
      <c r="U151" s="10"/>
      <c r="V151" s="10"/>
      <c r="W151" s="10">
        <v>46218</v>
      </c>
      <c r="X151" s="10">
        <v>46223</v>
      </c>
      <c r="Y151" s="10">
        <v>46225</v>
      </c>
      <c r="Z151" s="10">
        <v>46230</v>
      </c>
      <c r="AA151" s="10">
        <v>46232</v>
      </c>
      <c r="AB151" s="10">
        <v>46237</v>
      </c>
      <c r="AC151" s="10"/>
      <c r="AD151" s="10"/>
      <c r="AE151" s="10">
        <v>46239</v>
      </c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</row>
    <row r="152" spans="1:45" ht="27.6" hidden="1">
      <c r="A152" s="22">
        <v>72</v>
      </c>
      <c r="B152" s="6" t="s">
        <v>145</v>
      </c>
      <c r="C152" s="6" t="s">
        <v>677</v>
      </c>
      <c r="D152" s="9" t="s">
        <v>287</v>
      </c>
      <c r="E152" s="9" t="s">
        <v>288</v>
      </c>
      <c r="F152" s="9" t="s">
        <v>289</v>
      </c>
      <c r="G152" s="6" t="s">
        <v>1</v>
      </c>
      <c r="H152" s="12" t="str">
        <f t="shared" si="2"/>
        <v>MB3004 Business Research Method</v>
      </c>
      <c r="I152" s="9" t="s">
        <v>233</v>
      </c>
      <c r="J152" s="9" t="s">
        <v>150</v>
      </c>
      <c r="K152" s="9" t="s">
        <v>172</v>
      </c>
      <c r="L152" s="6">
        <v>3</v>
      </c>
      <c r="M152" s="6">
        <v>3</v>
      </c>
      <c r="N152" s="9" t="s">
        <v>290</v>
      </c>
      <c r="O152" s="9" t="s">
        <v>292</v>
      </c>
      <c r="P152" s="10">
        <v>46202</v>
      </c>
      <c r="Q152" s="10">
        <v>46204</v>
      </c>
      <c r="R152" s="10">
        <v>46209</v>
      </c>
      <c r="S152" s="10">
        <v>46211</v>
      </c>
      <c r="T152" s="10">
        <v>46216</v>
      </c>
      <c r="U152" s="10"/>
      <c r="V152" s="10"/>
      <c r="W152" s="10">
        <v>46218</v>
      </c>
      <c r="X152" s="10">
        <v>46223</v>
      </c>
      <c r="Y152" s="10">
        <v>46225</v>
      </c>
      <c r="Z152" s="10">
        <v>46230</v>
      </c>
      <c r="AA152" s="10">
        <v>46232</v>
      </c>
      <c r="AB152" s="10">
        <v>46237</v>
      </c>
      <c r="AC152" s="10"/>
      <c r="AD152" s="10"/>
      <c r="AE152" s="10">
        <v>46239</v>
      </c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</row>
    <row r="153" spans="1:45" ht="27.6" hidden="1">
      <c r="A153" s="6">
        <v>73</v>
      </c>
      <c r="B153" s="6" t="s">
        <v>145</v>
      </c>
      <c r="C153" s="6" t="s">
        <v>677</v>
      </c>
      <c r="D153" s="9" t="s">
        <v>287</v>
      </c>
      <c r="E153" s="9" t="s">
        <v>288</v>
      </c>
      <c r="F153" s="9" t="s">
        <v>293</v>
      </c>
      <c r="G153" s="6" t="s">
        <v>1</v>
      </c>
      <c r="H153" s="12" t="str">
        <f t="shared" si="2"/>
        <v>MB3004 Business Research Method</v>
      </c>
      <c r="I153" s="9" t="s">
        <v>240</v>
      </c>
      <c r="J153" s="9" t="s">
        <v>150</v>
      </c>
      <c r="K153" s="9" t="s">
        <v>172</v>
      </c>
      <c r="L153" s="6">
        <v>3</v>
      </c>
      <c r="M153" s="6">
        <v>3</v>
      </c>
      <c r="N153" s="9" t="s">
        <v>290</v>
      </c>
      <c r="O153" s="9" t="s">
        <v>294</v>
      </c>
      <c r="P153" s="10">
        <v>46202</v>
      </c>
      <c r="Q153" s="10">
        <v>46204</v>
      </c>
      <c r="R153" s="10">
        <v>46209</v>
      </c>
      <c r="S153" s="10">
        <v>46211</v>
      </c>
      <c r="T153" s="10">
        <v>46216</v>
      </c>
      <c r="U153" s="10"/>
      <c r="V153" s="10"/>
      <c r="W153" s="10">
        <v>46218</v>
      </c>
      <c r="X153" s="10">
        <v>46223</v>
      </c>
      <c r="Y153" s="10">
        <v>46225</v>
      </c>
      <c r="Z153" s="10">
        <v>46230</v>
      </c>
      <c r="AA153" s="10">
        <v>46232</v>
      </c>
      <c r="AB153" s="10">
        <v>46237</v>
      </c>
      <c r="AC153" s="10"/>
      <c r="AD153" s="10"/>
      <c r="AE153" s="10">
        <v>46239</v>
      </c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</row>
    <row r="154" spans="1:45" ht="27.6" hidden="1">
      <c r="A154" s="6">
        <v>73</v>
      </c>
      <c r="B154" s="6" t="s">
        <v>145</v>
      </c>
      <c r="C154" s="6" t="s">
        <v>677</v>
      </c>
      <c r="D154" s="9" t="s">
        <v>287</v>
      </c>
      <c r="E154" s="9" t="s">
        <v>288</v>
      </c>
      <c r="F154" s="9" t="s">
        <v>293</v>
      </c>
      <c r="G154" s="6" t="s">
        <v>1</v>
      </c>
      <c r="H154" s="12" t="str">
        <f t="shared" si="2"/>
        <v>MB3004 Business Research Method</v>
      </c>
      <c r="I154" s="9" t="s">
        <v>240</v>
      </c>
      <c r="J154" s="9" t="s">
        <v>150</v>
      </c>
      <c r="K154" s="9" t="s">
        <v>172</v>
      </c>
      <c r="L154" s="6">
        <v>3</v>
      </c>
      <c r="M154" s="6">
        <v>3</v>
      </c>
      <c r="N154" s="9" t="s">
        <v>290</v>
      </c>
      <c r="O154" s="9" t="s">
        <v>295</v>
      </c>
      <c r="P154" s="10">
        <v>46202</v>
      </c>
      <c r="Q154" s="10">
        <v>46204</v>
      </c>
      <c r="R154" s="10">
        <v>46209</v>
      </c>
      <c r="S154" s="10">
        <v>46211</v>
      </c>
      <c r="T154" s="10">
        <v>46216</v>
      </c>
      <c r="U154" s="10"/>
      <c r="V154" s="10"/>
      <c r="W154" s="10">
        <v>46218</v>
      </c>
      <c r="X154" s="10">
        <v>46223</v>
      </c>
      <c r="Y154" s="10">
        <v>46225</v>
      </c>
      <c r="Z154" s="10">
        <v>46230</v>
      </c>
      <c r="AA154" s="10">
        <v>46232</v>
      </c>
      <c r="AB154" s="10">
        <v>46237</v>
      </c>
      <c r="AC154" s="10"/>
      <c r="AD154" s="10"/>
      <c r="AE154" s="10">
        <v>46239</v>
      </c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</row>
    <row r="155" spans="1:45" ht="27.6" hidden="1">
      <c r="A155" s="22">
        <v>74</v>
      </c>
      <c r="B155" s="6" t="s">
        <v>145</v>
      </c>
      <c r="C155" s="6" t="s">
        <v>677</v>
      </c>
      <c r="D155" s="9" t="s">
        <v>287</v>
      </c>
      <c r="E155" s="9" t="s">
        <v>288</v>
      </c>
      <c r="F155" s="9" t="s">
        <v>296</v>
      </c>
      <c r="G155" s="6" t="s">
        <v>1</v>
      </c>
      <c r="H155" s="12" t="str">
        <f t="shared" si="2"/>
        <v>MB3004 Business Research Method</v>
      </c>
      <c r="I155" s="9" t="s">
        <v>243</v>
      </c>
      <c r="J155" s="9" t="s">
        <v>150</v>
      </c>
      <c r="K155" s="9" t="s">
        <v>172</v>
      </c>
      <c r="L155" s="6">
        <v>3</v>
      </c>
      <c r="M155" s="6">
        <v>3</v>
      </c>
      <c r="N155" s="9" t="s">
        <v>290</v>
      </c>
      <c r="O155" s="9" t="s">
        <v>297</v>
      </c>
      <c r="P155" s="10">
        <v>46202</v>
      </c>
      <c r="Q155" s="10">
        <v>46204</v>
      </c>
      <c r="R155" s="10">
        <v>46209</v>
      </c>
      <c r="S155" s="10">
        <v>46211</v>
      </c>
      <c r="T155" s="10">
        <v>46216</v>
      </c>
      <c r="U155" s="10"/>
      <c r="V155" s="10"/>
      <c r="W155" s="10">
        <v>46218</v>
      </c>
      <c r="X155" s="10">
        <v>46223</v>
      </c>
      <c r="Y155" s="10">
        <v>46225</v>
      </c>
      <c r="Z155" s="10">
        <v>46230</v>
      </c>
      <c r="AA155" s="10">
        <v>46232</v>
      </c>
      <c r="AB155" s="10">
        <v>46237</v>
      </c>
      <c r="AC155" s="10"/>
      <c r="AD155" s="10"/>
      <c r="AE155" s="10">
        <v>46239</v>
      </c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</row>
    <row r="156" spans="1:45" ht="27.6" hidden="1">
      <c r="A156" s="22">
        <v>74</v>
      </c>
      <c r="B156" s="6" t="s">
        <v>145</v>
      </c>
      <c r="C156" s="6" t="s">
        <v>677</v>
      </c>
      <c r="D156" s="9" t="s">
        <v>287</v>
      </c>
      <c r="E156" s="9" t="s">
        <v>288</v>
      </c>
      <c r="F156" s="9" t="s">
        <v>296</v>
      </c>
      <c r="G156" s="6" t="s">
        <v>1</v>
      </c>
      <c r="H156" s="12" t="str">
        <f t="shared" si="2"/>
        <v>MB3004 Business Research Method</v>
      </c>
      <c r="I156" s="9" t="s">
        <v>243</v>
      </c>
      <c r="J156" s="9" t="s">
        <v>150</v>
      </c>
      <c r="K156" s="9" t="s">
        <v>172</v>
      </c>
      <c r="L156" s="6">
        <v>3</v>
      </c>
      <c r="M156" s="6">
        <v>3</v>
      </c>
      <c r="N156" s="9" t="s">
        <v>290</v>
      </c>
      <c r="O156" s="9" t="s">
        <v>295</v>
      </c>
      <c r="P156" s="10">
        <v>46202</v>
      </c>
      <c r="Q156" s="10">
        <v>46204</v>
      </c>
      <c r="R156" s="10">
        <v>46209</v>
      </c>
      <c r="S156" s="10">
        <v>46211</v>
      </c>
      <c r="T156" s="10">
        <v>46216</v>
      </c>
      <c r="U156" s="10"/>
      <c r="V156" s="10"/>
      <c r="W156" s="10">
        <v>46218</v>
      </c>
      <c r="X156" s="10">
        <v>46223</v>
      </c>
      <c r="Y156" s="10">
        <v>46225</v>
      </c>
      <c r="Z156" s="10">
        <v>46230</v>
      </c>
      <c r="AA156" s="10">
        <v>46232</v>
      </c>
      <c r="AB156" s="10">
        <v>46237</v>
      </c>
      <c r="AC156" s="10"/>
      <c r="AD156" s="10"/>
      <c r="AE156" s="10">
        <v>46239</v>
      </c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</row>
    <row r="157" spans="1:45" ht="27.6" hidden="1">
      <c r="A157" s="6">
        <v>75</v>
      </c>
      <c r="B157" s="6" t="s">
        <v>145</v>
      </c>
      <c r="C157" s="6" t="s">
        <v>677</v>
      </c>
      <c r="D157" s="9" t="s">
        <v>287</v>
      </c>
      <c r="E157" s="9" t="s">
        <v>288</v>
      </c>
      <c r="F157" s="9" t="s">
        <v>298</v>
      </c>
      <c r="G157" s="6" t="s">
        <v>1</v>
      </c>
      <c r="H157" s="12" t="str">
        <f t="shared" si="2"/>
        <v>MB3004 Business Research Method</v>
      </c>
      <c r="I157" s="9" t="s">
        <v>246</v>
      </c>
      <c r="J157" s="9" t="s">
        <v>150</v>
      </c>
      <c r="K157" s="9" t="s">
        <v>172</v>
      </c>
      <c r="L157" s="6">
        <v>3</v>
      </c>
      <c r="M157" s="6">
        <v>3</v>
      </c>
      <c r="N157" s="9" t="s">
        <v>290</v>
      </c>
      <c r="O157" s="9" t="s">
        <v>299</v>
      </c>
      <c r="P157" s="10">
        <v>46202</v>
      </c>
      <c r="Q157" s="10">
        <v>46204</v>
      </c>
      <c r="R157" s="10">
        <v>46209</v>
      </c>
      <c r="S157" s="10">
        <v>46211</v>
      </c>
      <c r="T157" s="10">
        <v>46216</v>
      </c>
      <c r="U157" s="10"/>
      <c r="V157" s="10"/>
      <c r="W157" s="10">
        <v>46218</v>
      </c>
      <c r="X157" s="10">
        <v>46223</v>
      </c>
      <c r="Y157" s="10">
        <v>46225</v>
      </c>
      <c r="Z157" s="10">
        <v>46230</v>
      </c>
      <c r="AA157" s="10">
        <v>46232</v>
      </c>
      <c r="AB157" s="10">
        <v>46237</v>
      </c>
      <c r="AC157" s="10"/>
      <c r="AD157" s="10"/>
      <c r="AE157" s="10">
        <v>46239</v>
      </c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</row>
    <row r="158" spans="1:45" ht="27.6" hidden="1">
      <c r="A158" s="6">
        <v>75</v>
      </c>
      <c r="B158" s="6" t="s">
        <v>145</v>
      </c>
      <c r="C158" s="6" t="s">
        <v>677</v>
      </c>
      <c r="D158" s="9" t="s">
        <v>287</v>
      </c>
      <c r="E158" s="9" t="s">
        <v>288</v>
      </c>
      <c r="F158" s="9" t="s">
        <v>298</v>
      </c>
      <c r="G158" s="6" t="s">
        <v>1</v>
      </c>
      <c r="H158" s="12" t="str">
        <f t="shared" si="2"/>
        <v>MB3004 Business Research Method</v>
      </c>
      <c r="I158" s="9" t="s">
        <v>246</v>
      </c>
      <c r="J158" s="9" t="s">
        <v>150</v>
      </c>
      <c r="K158" s="9" t="s">
        <v>172</v>
      </c>
      <c r="L158" s="6">
        <v>3</v>
      </c>
      <c r="M158" s="6">
        <v>3</v>
      </c>
      <c r="N158" s="9" t="s">
        <v>290</v>
      </c>
      <c r="O158" s="9" t="s">
        <v>208</v>
      </c>
      <c r="P158" s="10">
        <v>46202</v>
      </c>
      <c r="Q158" s="10">
        <v>46204</v>
      </c>
      <c r="R158" s="10">
        <v>46209</v>
      </c>
      <c r="S158" s="10">
        <v>46211</v>
      </c>
      <c r="T158" s="10">
        <v>46216</v>
      </c>
      <c r="U158" s="10"/>
      <c r="V158" s="10"/>
      <c r="W158" s="10">
        <v>46218</v>
      </c>
      <c r="X158" s="10">
        <v>46223</v>
      </c>
      <c r="Y158" s="10">
        <v>46225</v>
      </c>
      <c r="Z158" s="10">
        <v>46230</v>
      </c>
      <c r="AA158" s="10">
        <v>46232</v>
      </c>
      <c r="AB158" s="10">
        <v>46237</v>
      </c>
      <c r="AC158" s="10"/>
      <c r="AD158" s="10"/>
      <c r="AE158" s="10">
        <v>46239</v>
      </c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</row>
    <row r="159" spans="1:45" ht="27.6" hidden="1">
      <c r="A159" s="22">
        <v>76</v>
      </c>
      <c r="B159" s="6" t="s">
        <v>145</v>
      </c>
      <c r="C159" s="6" t="s">
        <v>677</v>
      </c>
      <c r="D159" s="9" t="s">
        <v>287</v>
      </c>
      <c r="E159" s="9" t="s">
        <v>288</v>
      </c>
      <c r="F159" s="9" t="s">
        <v>300</v>
      </c>
      <c r="G159" s="6" t="s">
        <v>1</v>
      </c>
      <c r="H159" s="12" t="str">
        <f t="shared" si="2"/>
        <v>MB3004 Business Research Method</v>
      </c>
      <c r="I159" s="9" t="s">
        <v>171</v>
      </c>
      <c r="J159" s="9" t="s">
        <v>150</v>
      </c>
      <c r="K159" s="9" t="s">
        <v>151</v>
      </c>
      <c r="L159" s="6">
        <v>3</v>
      </c>
      <c r="M159" s="6">
        <v>3</v>
      </c>
      <c r="N159" s="9" t="s">
        <v>301</v>
      </c>
      <c r="O159" s="9" t="s">
        <v>302</v>
      </c>
      <c r="P159" s="10">
        <v>46202</v>
      </c>
      <c r="Q159" s="10">
        <v>46204</v>
      </c>
      <c r="R159" s="10">
        <v>46209</v>
      </c>
      <c r="S159" s="10">
        <v>46211</v>
      </c>
      <c r="T159" s="10">
        <v>46216</v>
      </c>
      <c r="U159" s="10"/>
      <c r="V159" s="10"/>
      <c r="W159" s="10">
        <v>46218</v>
      </c>
      <c r="X159" s="10">
        <v>46223</v>
      </c>
      <c r="Y159" s="10">
        <v>46225</v>
      </c>
      <c r="Z159" s="10">
        <v>46230</v>
      </c>
      <c r="AA159" s="10">
        <v>46232</v>
      </c>
      <c r="AB159" s="10">
        <v>46237</v>
      </c>
      <c r="AC159" s="10"/>
      <c r="AD159" s="10"/>
      <c r="AE159" s="10">
        <v>46239</v>
      </c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</row>
    <row r="160" spans="1:45" ht="27.6" hidden="1">
      <c r="A160" s="22">
        <v>76</v>
      </c>
      <c r="B160" s="6" t="s">
        <v>145</v>
      </c>
      <c r="C160" s="6" t="s">
        <v>677</v>
      </c>
      <c r="D160" s="9" t="s">
        <v>287</v>
      </c>
      <c r="E160" s="9" t="s">
        <v>288</v>
      </c>
      <c r="F160" s="9" t="s">
        <v>300</v>
      </c>
      <c r="G160" s="6" t="s">
        <v>1</v>
      </c>
      <c r="H160" s="12" t="str">
        <f t="shared" si="2"/>
        <v>MB3004 Business Research Method</v>
      </c>
      <c r="I160" s="9" t="s">
        <v>171</v>
      </c>
      <c r="J160" s="9" t="s">
        <v>150</v>
      </c>
      <c r="K160" s="9" t="s">
        <v>151</v>
      </c>
      <c r="L160" s="6">
        <v>3</v>
      </c>
      <c r="M160" s="6">
        <v>3</v>
      </c>
      <c r="N160" s="9" t="s">
        <v>301</v>
      </c>
      <c r="O160" s="9" t="s">
        <v>303</v>
      </c>
      <c r="P160" s="10">
        <v>46202</v>
      </c>
      <c r="Q160" s="10">
        <v>46204</v>
      </c>
      <c r="R160" s="10">
        <v>46209</v>
      </c>
      <c r="S160" s="10">
        <v>46211</v>
      </c>
      <c r="T160" s="10">
        <v>46216</v>
      </c>
      <c r="U160" s="10"/>
      <c r="V160" s="10"/>
      <c r="W160" s="10">
        <v>46218</v>
      </c>
      <c r="X160" s="10">
        <v>46223</v>
      </c>
      <c r="Y160" s="10">
        <v>46225</v>
      </c>
      <c r="Z160" s="10">
        <v>46230</v>
      </c>
      <c r="AA160" s="10">
        <v>46232</v>
      </c>
      <c r="AB160" s="10">
        <v>46237</v>
      </c>
      <c r="AC160" s="10"/>
      <c r="AD160" s="10"/>
      <c r="AE160" s="10">
        <v>46239</v>
      </c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</row>
    <row r="161" spans="1:45" ht="27.6" hidden="1">
      <c r="A161" s="22">
        <v>76</v>
      </c>
      <c r="B161" s="6" t="s">
        <v>145</v>
      </c>
      <c r="C161" s="6" t="s">
        <v>677</v>
      </c>
      <c r="D161" s="9" t="s">
        <v>287</v>
      </c>
      <c r="E161" s="9" t="s">
        <v>288</v>
      </c>
      <c r="F161" s="9" t="s">
        <v>300</v>
      </c>
      <c r="G161" s="6" t="s">
        <v>1</v>
      </c>
      <c r="H161" s="12" t="str">
        <f t="shared" si="2"/>
        <v>MB3004 Business Research Method</v>
      </c>
      <c r="I161" s="9" t="s">
        <v>171</v>
      </c>
      <c r="J161" s="9" t="s">
        <v>150</v>
      </c>
      <c r="K161" s="9" t="s">
        <v>151</v>
      </c>
      <c r="L161" s="6">
        <v>3</v>
      </c>
      <c r="M161" s="6">
        <v>3</v>
      </c>
      <c r="N161" s="9" t="s">
        <v>301</v>
      </c>
      <c r="O161" s="9" t="s">
        <v>304</v>
      </c>
      <c r="P161" s="10">
        <v>46202</v>
      </c>
      <c r="Q161" s="10">
        <v>46204</v>
      </c>
      <c r="R161" s="10">
        <v>46209</v>
      </c>
      <c r="S161" s="10">
        <v>46211</v>
      </c>
      <c r="T161" s="10">
        <v>46216</v>
      </c>
      <c r="U161" s="10"/>
      <c r="V161" s="10"/>
      <c r="W161" s="10">
        <v>46218</v>
      </c>
      <c r="X161" s="10">
        <v>46223</v>
      </c>
      <c r="Y161" s="10">
        <v>46225</v>
      </c>
      <c r="Z161" s="10">
        <v>46230</v>
      </c>
      <c r="AA161" s="10">
        <v>46232</v>
      </c>
      <c r="AB161" s="10">
        <v>46237</v>
      </c>
      <c r="AC161" s="10"/>
      <c r="AD161" s="10"/>
      <c r="AE161" s="10">
        <v>46239</v>
      </c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</row>
    <row r="162" spans="1:45" ht="27.6" hidden="1">
      <c r="A162" s="6">
        <v>77</v>
      </c>
      <c r="B162" s="6" t="s">
        <v>145</v>
      </c>
      <c r="C162" s="6" t="s">
        <v>677</v>
      </c>
      <c r="D162" s="9" t="s">
        <v>287</v>
      </c>
      <c r="E162" s="9" t="s">
        <v>288</v>
      </c>
      <c r="F162" s="9" t="s">
        <v>305</v>
      </c>
      <c r="G162" s="6" t="s">
        <v>1</v>
      </c>
      <c r="H162" s="12" t="str">
        <f t="shared" si="2"/>
        <v>MB3004 Business Research Method</v>
      </c>
      <c r="I162" s="9" t="s">
        <v>177</v>
      </c>
      <c r="J162" s="9" t="s">
        <v>150</v>
      </c>
      <c r="K162" s="9" t="s">
        <v>151</v>
      </c>
      <c r="L162" s="6">
        <v>3</v>
      </c>
      <c r="M162" s="6">
        <v>3</v>
      </c>
      <c r="N162" s="9" t="s">
        <v>301</v>
      </c>
      <c r="O162" s="9" t="s">
        <v>306</v>
      </c>
      <c r="P162" s="10">
        <v>46202</v>
      </c>
      <c r="Q162" s="10">
        <v>46204</v>
      </c>
      <c r="R162" s="10">
        <v>46209</v>
      </c>
      <c r="S162" s="10">
        <v>46211</v>
      </c>
      <c r="T162" s="10">
        <v>46216</v>
      </c>
      <c r="U162" s="10"/>
      <c r="V162" s="10"/>
      <c r="W162" s="10">
        <v>46218</v>
      </c>
      <c r="X162" s="10">
        <v>46223</v>
      </c>
      <c r="Y162" s="10">
        <v>46225</v>
      </c>
      <c r="Z162" s="10">
        <v>46230</v>
      </c>
      <c r="AA162" s="10">
        <v>46232</v>
      </c>
      <c r="AB162" s="10">
        <v>46237</v>
      </c>
      <c r="AC162" s="10"/>
      <c r="AD162" s="10"/>
      <c r="AE162" s="10">
        <v>46239</v>
      </c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</row>
    <row r="163" spans="1:45" ht="27.6" hidden="1">
      <c r="A163" s="6">
        <v>77</v>
      </c>
      <c r="B163" s="6" t="s">
        <v>145</v>
      </c>
      <c r="C163" s="6" t="s">
        <v>677</v>
      </c>
      <c r="D163" s="9" t="s">
        <v>287</v>
      </c>
      <c r="E163" s="9" t="s">
        <v>288</v>
      </c>
      <c r="F163" s="9" t="s">
        <v>305</v>
      </c>
      <c r="G163" s="6" t="s">
        <v>1</v>
      </c>
      <c r="H163" s="12" t="str">
        <f t="shared" si="2"/>
        <v>MB3004 Business Research Method</v>
      </c>
      <c r="I163" s="9" t="s">
        <v>177</v>
      </c>
      <c r="J163" s="9" t="s">
        <v>150</v>
      </c>
      <c r="K163" s="9" t="s">
        <v>151</v>
      </c>
      <c r="L163" s="6">
        <v>3</v>
      </c>
      <c r="M163" s="6">
        <v>3</v>
      </c>
      <c r="N163" s="9" t="s">
        <v>301</v>
      </c>
      <c r="O163" s="9" t="s">
        <v>307</v>
      </c>
      <c r="P163" s="10">
        <v>46202</v>
      </c>
      <c r="Q163" s="10">
        <v>46204</v>
      </c>
      <c r="R163" s="10">
        <v>46209</v>
      </c>
      <c r="S163" s="10">
        <v>46211</v>
      </c>
      <c r="T163" s="10">
        <v>46216</v>
      </c>
      <c r="U163" s="10"/>
      <c r="V163" s="10"/>
      <c r="W163" s="10">
        <v>46218</v>
      </c>
      <c r="X163" s="10">
        <v>46223</v>
      </c>
      <c r="Y163" s="10">
        <v>46225</v>
      </c>
      <c r="Z163" s="10">
        <v>46230</v>
      </c>
      <c r="AA163" s="10">
        <v>46232</v>
      </c>
      <c r="AB163" s="10">
        <v>46237</v>
      </c>
      <c r="AC163" s="10"/>
      <c r="AD163" s="10"/>
      <c r="AE163" s="10">
        <v>46239</v>
      </c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</row>
    <row r="164" spans="1:45" ht="27.6" hidden="1">
      <c r="A164" s="6">
        <v>77</v>
      </c>
      <c r="B164" s="6" t="s">
        <v>145</v>
      </c>
      <c r="C164" s="6" t="s">
        <v>677</v>
      </c>
      <c r="D164" s="9" t="s">
        <v>287</v>
      </c>
      <c r="E164" s="9" t="s">
        <v>288</v>
      </c>
      <c r="F164" s="9" t="s">
        <v>305</v>
      </c>
      <c r="G164" s="6" t="s">
        <v>1</v>
      </c>
      <c r="H164" s="12" t="str">
        <f t="shared" si="2"/>
        <v>MB3004 Business Research Method</v>
      </c>
      <c r="I164" s="9" t="s">
        <v>177</v>
      </c>
      <c r="J164" s="9" t="s">
        <v>150</v>
      </c>
      <c r="K164" s="9" t="s">
        <v>151</v>
      </c>
      <c r="L164" s="6">
        <v>3</v>
      </c>
      <c r="M164" s="6">
        <v>3</v>
      </c>
      <c r="N164" s="9" t="s">
        <v>301</v>
      </c>
      <c r="O164" s="9" t="s">
        <v>308</v>
      </c>
      <c r="P164" s="10">
        <v>46202</v>
      </c>
      <c r="Q164" s="10">
        <v>46204</v>
      </c>
      <c r="R164" s="10">
        <v>46209</v>
      </c>
      <c r="S164" s="10">
        <v>46211</v>
      </c>
      <c r="T164" s="10">
        <v>46216</v>
      </c>
      <c r="U164" s="10"/>
      <c r="V164" s="10"/>
      <c r="W164" s="10">
        <v>46218</v>
      </c>
      <c r="X164" s="10">
        <v>46223</v>
      </c>
      <c r="Y164" s="10">
        <v>46225</v>
      </c>
      <c r="Z164" s="10">
        <v>46230</v>
      </c>
      <c r="AA164" s="10">
        <v>46232</v>
      </c>
      <c r="AB164" s="10">
        <v>46237</v>
      </c>
      <c r="AC164" s="10"/>
      <c r="AD164" s="10"/>
      <c r="AE164" s="10">
        <v>46239</v>
      </c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</row>
    <row r="165" spans="1:45" ht="27.6" hidden="1">
      <c r="A165" s="22">
        <v>78</v>
      </c>
      <c r="B165" s="6" t="s">
        <v>145</v>
      </c>
      <c r="C165" s="6" t="s">
        <v>677</v>
      </c>
      <c r="D165" s="9" t="s">
        <v>287</v>
      </c>
      <c r="E165" s="9" t="s">
        <v>288</v>
      </c>
      <c r="F165" s="9" t="s">
        <v>309</v>
      </c>
      <c r="G165" s="6" t="s">
        <v>1</v>
      </c>
      <c r="H165" s="12" t="str">
        <f t="shared" si="2"/>
        <v>MB3004 Business Research Method</v>
      </c>
      <c r="I165" s="9" t="s">
        <v>180</v>
      </c>
      <c r="J165" s="9" t="s">
        <v>150</v>
      </c>
      <c r="K165" s="9" t="s">
        <v>151</v>
      </c>
      <c r="L165" s="6">
        <v>3</v>
      </c>
      <c r="M165" s="6">
        <v>3</v>
      </c>
      <c r="N165" s="9" t="s">
        <v>301</v>
      </c>
      <c r="O165" s="9" t="s">
        <v>310</v>
      </c>
      <c r="P165" s="10">
        <v>46202</v>
      </c>
      <c r="Q165" s="10">
        <v>46204</v>
      </c>
      <c r="R165" s="10">
        <v>46209</v>
      </c>
      <c r="S165" s="10">
        <v>46211</v>
      </c>
      <c r="T165" s="10">
        <v>46216</v>
      </c>
      <c r="U165" s="10"/>
      <c r="V165" s="10"/>
      <c r="W165" s="10">
        <v>46218</v>
      </c>
      <c r="X165" s="10">
        <v>46223</v>
      </c>
      <c r="Y165" s="10">
        <v>46225</v>
      </c>
      <c r="Z165" s="10">
        <v>46230</v>
      </c>
      <c r="AA165" s="10">
        <v>46232</v>
      </c>
      <c r="AB165" s="10">
        <v>46237</v>
      </c>
      <c r="AC165" s="10"/>
      <c r="AD165" s="10"/>
      <c r="AE165" s="10">
        <v>46239</v>
      </c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</row>
    <row r="166" spans="1:45" ht="27.6" hidden="1">
      <c r="A166" s="22">
        <v>78</v>
      </c>
      <c r="B166" s="6" t="s">
        <v>145</v>
      </c>
      <c r="C166" s="6" t="s">
        <v>677</v>
      </c>
      <c r="D166" s="9" t="s">
        <v>287</v>
      </c>
      <c r="E166" s="9" t="s">
        <v>288</v>
      </c>
      <c r="F166" s="9" t="s">
        <v>309</v>
      </c>
      <c r="G166" s="6" t="s">
        <v>1</v>
      </c>
      <c r="H166" s="12" t="str">
        <f t="shared" si="2"/>
        <v>MB3004 Business Research Method</v>
      </c>
      <c r="I166" s="9" t="s">
        <v>180</v>
      </c>
      <c r="J166" s="9" t="s">
        <v>150</v>
      </c>
      <c r="K166" s="9" t="s">
        <v>151</v>
      </c>
      <c r="L166" s="6">
        <v>3</v>
      </c>
      <c r="M166" s="6">
        <v>3</v>
      </c>
      <c r="N166" s="9" t="s">
        <v>301</v>
      </c>
      <c r="O166" s="9" t="s">
        <v>311</v>
      </c>
      <c r="P166" s="10">
        <v>46202</v>
      </c>
      <c r="Q166" s="10">
        <v>46204</v>
      </c>
      <c r="R166" s="10">
        <v>46209</v>
      </c>
      <c r="S166" s="10">
        <v>46211</v>
      </c>
      <c r="T166" s="10">
        <v>46216</v>
      </c>
      <c r="U166" s="10"/>
      <c r="V166" s="10"/>
      <c r="W166" s="10">
        <v>46218</v>
      </c>
      <c r="X166" s="10">
        <v>46223</v>
      </c>
      <c r="Y166" s="10">
        <v>46225</v>
      </c>
      <c r="Z166" s="10">
        <v>46230</v>
      </c>
      <c r="AA166" s="10">
        <v>46232</v>
      </c>
      <c r="AB166" s="10">
        <v>46237</v>
      </c>
      <c r="AC166" s="10"/>
      <c r="AD166" s="10"/>
      <c r="AE166" s="10">
        <v>46239</v>
      </c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</row>
    <row r="167" spans="1:45" ht="27.6" hidden="1">
      <c r="A167" s="22">
        <v>78</v>
      </c>
      <c r="B167" s="6" t="s">
        <v>145</v>
      </c>
      <c r="C167" s="6" t="s">
        <v>677</v>
      </c>
      <c r="D167" s="9" t="s">
        <v>287</v>
      </c>
      <c r="E167" s="9" t="s">
        <v>288</v>
      </c>
      <c r="F167" s="9" t="s">
        <v>309</v>
      </c>
      <c r="G167" s="6" t="s">
        <v>1</v>
      </c>
      <c r="H167" s="12" t="str">
        <f t="shared" si="2"/>
        <v>MB3004 Business Research Method</v>
      </c>
      <c r="I167" s="9" t="s">
        <v>180</v>
      </c>
      <c r="J167" s="9" t="s">
        <v>150</v>
      </c>
      <c r="K167" s="9" t="s">
        <v>151</v>
      </c>
      <c r="L167" s="6">
        <v>3</v>
      </c>
      <c r="M167" s="6">
        <v>3</v>
      </c>
      <c r="N167" s="9" t="s">
        <v>301</v>
      </c>
      <c r="O167" s="9" t="s">
        <v>303</v>
      </c>
      <c r="P167" s="10">
        <v>46202</v>
      </c>
      <c r="Q167" s="10">
        <v>46204</v>
      </c>
      <c r="R167" s="10">
        <v>46209</v>
      </c>
      <c r="S167" s="10">
        <v>46211</v>
      </c>
      <c r="T167" s="10">
        <v>46216</v>
      </c>
      <c r="U167" s="10"/>
      <c r="V167" s="10"/>
      <c r="W167" s="10">
        <v>46218</v>
      </c>
      <c r="X167" s="10">
        <v>46223</v>
      </c>
      <c r="Y167" s="10">
        <v>46225</v>
      </c>
      <c r="Z167" s="10">
        <v>46230</v>
      </c>
      <c r="AA167" s="10">
        <v>46232</v>
      </c>
      <c r="AB167" s="10">
        <v>46237</v>
      </c>
      <c r="AC167" s="10"/>
      <c r="AD167" s="10"/>
      <c r="AE167" s="10">
        <v>46239</v>
      </c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</row>
    <row r="168" spans="1:45" ht="27.6" hidden="1">
      <c r="A168" s="6">
        <v>79</v>
      </c>
      <c r="B168" s="6" t="s">
        <v>145</v>
      </c>
      <c r="C168" s="6" t="s">
        <v>677</v>
      </c>
      <c r="D168" s="9" t="s">
        <v>287</v>
      </c>
      <c r="E168" s="9" t="s">
        <v>288</v>
      </c>
      <c r="F168" s="9" t="s">
        <v>312</v>
      </c>
      <c r="G168" s="6" t="s">
        <v>1</v>
      </c>
      <c r="H168" s="12" t="str">
        <f t="shared" si="2"/>
        <v>MB3004 Business Research Method</v>
      </c>
      <c r="I168" s="9" t="s">
        <v>313</v>
      </c>
      <c r="J168" s="9" t="s">
        <v>150</v>
      </c>
      <c r="K168" s="9" t="s">
        <v>151</v>
      </c>
      <c r="L168" s="6">
        <v>3</v>
      </c>
      <c r="M168" s="6">
        <v>3</v>
      </c>
      <c r="N168" s="9" t="s">
        <v>301</v>
      </c>
      <c r="O168" s="9" t="s">
        <v>303</v>
      </c>
      <c r="P168" s="10">
        <v>46202</v>
      </c>
      <c r="Q168" s="10">
        <v>46204</v>
      </c>
      <c r="R168" s="10">
        <v>46209</v>
      </c>
      <c r="S168" s="10">
        <v>46211</v>
      </c>
      <c r="T168" s="10">
        <v>46216</v>
      </c>
      <c r="U168" s="10"/>
      <c r="V168" s="10"/>
      <c r="W168" s="10">
        <v>46218</v>
      </c>
      <c r="X168" s="10">
        <v>46223</v>
      </c>
      <c r="Y168" s="10">
        <v>46225</v>
      </c>
      <c r="Z168" s="10">
        <v>46230</v>
      </c>
      <c r="AA168" s="10">
        <v>46232</v>
      </c>
      <c r="AB168" s="10">
        <v>46237</v>
      </c>
      <c r="AC168" s="10"/>
      <c r="AD168" s="10"/>
      <c r="AE168" s="10">
        <v>46239</v>
      </c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</row>
    <row r="169" spans="1:45" ht="27.6" hidden="1">
      <c r="A169" s="6">
        <v>79</v>
      </c>
      <c r="B169" s="6" t="s">
        <v>145</v>
      </c>
      <c r="C169" s="6" t="s">
        <v>677</v>
      </c>
      <c r="D169" s="9" t="s">
        <v>287</v>
      </c>
      <c r="E169" s="9" t="s">
        <v>288</v>
      </c>
      <c r="F169" s="9" t="s">
        <v>312</v>
      </c>
      <c r="G169" s="6" t="s">
        <v>1</v>
      </c>
      <c r="H169" s="12" t="str">
        <f t="shared" si="2"/>
        <v>MB3004 Business Research Method</v>
      </c>
      <c r="I169" s="9" t="s">
        <v>313</v>
      </c>
      <c r="J169" s="9" t="s">
        <v>150</v>
      </c>
      <c r="K169" s="9" t="s">
        <v>151</v>
      </c>
      <c r="L169" s="6">
        <v>3</v>
      </c>
      <c r="M169" s="6">
        <v>3</v>
      </c>
      <c r="N169" s="9" t="s">
        <v>301</v>
      </c>
      <c r="O169" s="9" t="s">
        <v>314</v>
      </c>
      <c r="P169" s="10">
        <v>46202</v>
      </c>
      <c r="Q169" s="10">
        <v>46204</v>
      </c>
      <c r="R169" s="10">
        <v>46209</v>
      </c>
      <c r="S169" s="10">
        <v>46211</v>
      </c>
      <c r="T169" s="10">
        <v>46216</v>
      </c>
      <c r="U169" s="10"/>
      <c r="V169" s="10"/>
      <c r="W169" s="10">
        <v>46218</v>
      </c>
      <c r="X169" s="10">
        <v>46223</v>
      </c>
      <c r="Y169" s="10">
        <v>46225</v>
      </c>
      <c r="Z169" s="10">
        <v>46230</v>
      </c>
      <c r="AA169" s="10">
        <v>46232</v>
      </c>
      <c r="AB169" s="10">
        <v>46237</v>
      </c>
      <c r="AC169" s="10"/>
      <c r="AD169" s="10"/>
      <c r="AE169" s="10">
        <v>46239</v>
      </c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</row>
    <row r="170" spans="1:45" ht="41.4" hidden="1">
      <c r="A170" s="22">
        <v>80</v>
      </c>
      <c r="B170" s="6" t="s">
        <v>315</v>
      </c>
      <c r="C170" s="6" t="s">
        <v>677</v>
      </c>
      <c r="D170" s="9" t="s">
        <v>316</v>
      </c>
      <c r="E170" s="9" t="s">
        <v>317</v>
      </c>
      <c r="F170" s="9" t="s">
        <v>318</v>
      </c>
      <c r="G170" s="6" t="s">
        <v>51</v>
      </c>
      <c r="H170" s="12" t="str">
        <f t="shared" si="2"/>
        <v>MK4009 Technopreneur Dynamics and Business Ecosystem Development</v>
      </c>
      <c r="I170" s="9" t="s">
        <v>319</v>
      </c>
      <c r="J170" s="9" t="s">
        <v>84</v>
      </c>
      <c r="K170" s="9" t="s">
        <v>320</v>
      </c>
      <c r="L170" s="6">
        <v>3</v>
      </c>
      <c r="M170" s="6">
        <v>6</v>
      </c>
      <c r="N170" s="9" t="s">
        <v>321</v>
      </c>
      <c r="O170" s="9" t="s">
        <v>322</v>
      </c>
      <c r="P170" s="10">
        <v>46202</v>
      </c>
      <c r="Q170" s="10">
        <v>46202</v>
      </c>
      <c r="R170" s="10">
        <v>46209</v>
      </c>
      <c r="S170" s="10">
        <v>46209</v>
      </c>
      <c r="T170" s="10">
        <v>46216</v>
      </c>
      <c r="U170" s="10">
        <v>46216</v>
      </c>
      <c r="V170" s="10">
        <v>46223</v>
      </c>
      <c r="W170" s="10">
        <v>46223</v>
      </c>
      <c r="X170" s="10">
        <v>46230</v>
      </c>
      <c r="Y170" s="10">
        <v>46230</v>
      </c>
      <c r="Z170" s="10">
        <v>46237</v>
      </c>
      <c r="AA170" s="10">
        <v>46237</v>
      </c>
      <c r="AB170" s="10">
        <v>46244</v>
      </c>
      <c r="AC170" s="10">
        <v>46244</v>
      </c>
      <c r="AD170" s="10">
        <v>46253</v>
      </c>
      <c r="AE170" s="10">
        <v>46253</v>
      </c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</row>
    <row r="171" spans="1:45" ht="41.4" hidden="1">
      <c r="A171" s="22">
        <v>80</v>
      </c>
      <c r="B171" s="6" t="s">
        <v>315</v>
      </c>
      <c r="C171" s="6" t="s">
        <v>677</v>
      </c>
      <c r="D171" s="9" t="s">
        <v>316</v>
      </c>
      <c r="E171" s="9" t="s">
        <v>317</v>
      </c>
      <c r="F171" s="9" t="s">
        <v>318</v>
      </c>
      <c r="G171" s="6" t="s">
        <v>51</v>
      </c>
      <c r="H171" s="12" t="str">
        <f t="shared" si="2"/>
        <v>MK4009 Technopreneur Dynamics and Business Ecosystem Development</v>
      </c>
      <c r="I171" s="9" t="s">
        <v>319</v>
      </c>
      <c r="J171" s="9" t="s">
        <v>84</v>
      </c>
      <c r="K171" s="9" t="s">
        <v>320</v>
      </c>
      <c r="L171" s="6">
        <v>3</v>
      </c>
      <c r="M171" s="6">
        <v>6</v>
      </c>
      <c r="N171" s="9" t="s">
        <v>321</v>
      </c>
      <c r="O171" s="9" t="s">
        <v>323</v>
      </c>
      <c r="P171" s="10">
        <v>46202</v>
      </c>
      <c r="Q171" s="10">
        <v>46202</v>
      </c>
      <c r="R171" s="10">
        <v>46209</v>
      </c>
      <c r="S171" s="10">
        <v>46209</v>
      </c>
      <c r="T171" s="10">
        <v>46216</v>
      </c>
      <c r="U171" s="10">
        <v>46216</v>
      </c>
      <c r="V171" s="10">
        <v>46223</v>
      </c>
      <c r="W171" s="10">
        <v>46223</v>
      </c>
      <c r="X171" s="10">
        <v>46230</v>
      </c>
      <c r="Y171" s="10">
        <v>46230</v>
      </c>
      <c r="Z171" s="10">
        <v>46237</v>
      </c>
      <c r="AA171" s="10">
        <v>46237</v>
      </c>
      <c r="AB171" s="10">
        <v>46244</v>
      </c>
      <c r="AC171" s="10">
        <v>46244</v>
      </c>
      <c r="AD171" s="10">
        <v>46253</v>
      </c>
      <c r="AE171" s="10">
        <v>46253</v>
      </c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</row>
    <row r="172" spans="1:45" ht="41.4" hidden="1">
      <c r="A172" s="6">
        <v>81</v>
      </c>
      <c r="B172" s="6" t="s">
        <v>315</v>
      </c>
      <c r="C172" s="6" t="s">
        <v>677</v>
      </c>
      <c r="D172" s="28" t="s">
        <v>316</v>
      </c>
      <c r="E172" s="28" t="s">
        <v>317</v>
      </c>
      <c r="F172" s="28" t="s">
        <v>324</v>
      </c>
      <c r="G172" s="6" t="s">
        <v>51</v>
      </c>
      <c r="H172" s="12" t="str">
        <f t="shared" si="2"/>
        <v>MK4009 Technopreneur Dynamics and Business Ecosystem Development</v>
      </c>
      <c r="I172" s="28"/>
      <c r="J172" s="28" t="s">
        <v>84</v>
      </c>
      <c r="K172" s="9" t="s">
        <v>320</v>
      </c>
      <c r="L172" s="6">
        <v>3</v>
      </c>
      <c r="M172" s="6">
        <v>6</v>
      </c>
      <c r="N172" s="9" t="s">
        <v>321</v>
      </c>
      <c r="O172" s="9" t="s">
        <v>325</v>
      </c>
      <c r="P172" s="10">
        <v>46202</v>
      </c>
      <c r="Q172" s="10">
        <v>46202</v>
      </c>
      <c r="R172" s="10">
        <v>46209</v>
      </c>
      <c r="S172" s="10">
        <v>46209</v>
      </c>
      <c r="T172" s="10">
        <v>46216</v>
      </c>
      <c r="U172" s="10">
        <v>46216</v>
      </c>
      <c r="V172" s="10">
        <v>46223</v>
      </c>
      <c r="W172" s="10">
        <v>46223</v>
      </c>
      <c r="X172" s="10">
        <v>46230</v>
      </c>
      <c r="Y172" s="10">
        <v>46230</v>
      </c>
      <c r="Z172" s="10">
        <v>46237</v>
      </c>
      <c r="AA172" s="10">
        <v>46237</v>
      </c>
      <c r="AB172" s="10">
        <v>46244</v>
      </c>
      <c r="AC172" s="10">
        <v>46244</v>
      </c>
      <c r="AD172" s="10">
        <v>46253</v>
      </c>
      <c r="AE172" s="10">
        <v>46253</v>
      </c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</row>
    <row r="173" spans="1:45" ht="41.4" hidden="1">
      <c r="A173" s="6">
        <v>81</v>
      </c>
      <c r="B173" s="6" t="s">
        <v>315</v>
      </c>
      <c r="C173" s="6" t="s">
        <v>677</v>
      </c>
      <c r="D173" s="28" t="s">
        <v>316</v>
      </c>
      <c r="E173" s="28" t="s">
        <v>317</v>
      </c>
      <c r="F173" s="28" t="s">
        <v>324</v>
      </c>
      <c r="G173" s="6" t="s">
        <v>51</v>
      </c>
      <c r="H173" s="12" t="str">
        <f t="shared" si="2"/>
        <v>MK4009 Technopreneur Dynamics and Business Ecosystem Development</v>
      </c>
      <c r="I173" s="28"/>
      <c r="J173" s="28" t="s">
        <v>84</v>
      </c>
      <c r="K173" s="9" t="s">
        <v>320</v>
      </c>
      <c r="L173" s="6">
        <v>3</v>
      </c>
      <c r="M173" s="6">
        <v>6</v>
      </c>
      <c r="N173" s="9" t="s">
        <v>321</v>
      </c>
      <c r="O173" s="9" t="s">
        <v>326</v>
      </c>
      <c r="P173" s="10">
        <v>46202</v>
      </c>
      <c r="Q173" s="10">
        <v>46202</v>
      </c>
      <c r="R173" s="10">
        <v>46209</v>
      </c>
      <c r="S173" s="10">
        <v>46209</v>
      </c>
      <c r="T173" s="10">
        <v>46216</v>
      </c>
      <c r="U173" s="10">
        <v>46216</v>
      </c>
      <c r="V173" s="10">
        <v>46223</v>
      </c>
      <c r="W173" s="10">
        <v>46223</v>
      </c>
      <c r="X173" s="10">
        <v>46230</v>
      </c>
      <c r="Y173" s="10">
        <v>46230</v>
      </c>
      <c r="Z173" s="10">
        <v>46237</v>
      </c>
      <c r="AA173" s="10">
        <v>46237</v>
      </c>
      <c r="AB173" s="10">
        <v>46244</v>
      </c>
      <c r="AC173" s="10">
        <v>46244</v>
      </c>
      <c r="AD173" s="10">
        <v>46253</v>
      </c>
      <c r="AE173" s="10">
        <v>46253</v>
      </c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</row>
    <row r="174" spans="1:45" ht="27.6" hidden="1">
      <c r="A174" s="22">
        <v>82</v>
      </c>
      <c r="B174" s="6" t="s">
        <v>315</v>
      </c>
      <c r="C174" s="6" t="s">
        <v>677</v>
      </c>
      <c r="D174" s="9" t="s">
        <v>327</v>
      </c>
      <c r="E174" s="9" t="s">
        <v>328</v>
      </c>
      <c r="F174" s="9" t="s">
        <v>318</v>
      </c>
      <c r="G174" s="6" t="s">
        <v>51</v>
      </c>
      <c r="H174" s="12" t="str">
        <f t="shared" si="2"/>
        <v>MK3001 Product and Market Fit</v>
      </c>
      <c r="I174" s="9" t="s">
        <v>319</v>
      </c>
      <c r="J174" s="9" t="s">
        <v>89</v>
      </c>
      <c r="K174" s="9" t="s">
        <v>320</v>
      </c>
      <c r="L174" s="6">
        <v>3</v>
      </c>
      <c r="M174" s="6">
        <v>6</v>
      </c>
      <c r="N174" s="9" t="s">
        <v>321</v>
      </c>
      <c r="O174" s="9" t="s">
        <v>329</v>
      </c>
      <c r="P174" s="10">
        <v>46203</v>
      </c>
      <c r="Q174" s="10">
        <v>46203</v>
      </c>
      <c r="R174" s="10">
        <v>46210</v>
      </c>
      <c r="S174" s="10">
        <v>46210</v>
      </c>
      <c r="T174" s="10">
        <v>46217</v>
      </c>
      <c r="U174" s="10">
        <v>46217</v>
      </c>
      <c r="V174" s="10">
        <v>46224</v>
      </c>
      <c r="W174" s="10">
        <v>46224</v>
      </c>
      <c r="X174" s="10">
        <v>46231</v>
      </c>
      <c r="Y174" s="10">
        <v>46231</v>
      </c>
      <c r="Z174" s="10">
        <v>46238</v>
      </c>
      <c r="AA174" s="10">
        <v>46238</v>
      </c>
      <c r="AB174" s="10">
        <v>46245</v>
      </c>
      <c r="AC174" s="10">
        <v>46245</v>
      </c>
      <c r="AD174" s="10">
        <v>46252</v>
      </c>
      <c r="AE174" s="10">
        <v>46252</v>
      </c>
      <c r="AF174" s="5">
        <f t="shared" ref="AF174:AF176" si="3">16*3</f>
        <v>48</v>
      </c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</row>
    <row r="175" spans="1:45" ht="27.6" hidden="1">
      <c r="A175" s="22">
        <v>82</v>
      </c>
      <c r="B175" s="6" t="s">
        <v>315</v>
      </c>
      <c r="C175" s="6" t="s">
        <v>677</v>
      </c>
      <c r="D175" s="9" t="s">
        <v>327</v>
      </c>
      <c r="E175" s="9" t="s">
        <v>328</v>
      </c>
      <c r="F175" s="9" t="s">
        <v>318</v>
      </c>
      <c r="G175" s="6" t="s">
        <v>51</v>
      </c>
      <c r="H175" s="12" t="str">
        <f t="shared" si="2"/>
        <v>MK3001 Product and Market Fit</v>
      </c>
      <c r="I175" s="9" t="s">
        <v>319</v>
      </c>
      <c r="J175" s="9" t="s">
        <v>89</v>
      </c>
      <c r="K175" s="9" t="s">
        <v>320</v>
      </c>
      <c r="L175" s="6">
        <v>3</v>
      </c>
      <c r="M175" s="6">
        <v>6</v>
      </c>
      <c r="N175" s="9" t="s">
        <v>321</v>
      </c>
      <c r="O175" s="9" t="s">
        <v>330</v>
      </c>
      <c r="P175" s="10">
        <v>46203</v>
      </c>
      <c r="Q175" s="10">
        <v>46203</v>
      </c>
      <c r="R175" s="10">
        <v>46210</v>
      </c>
      <c r="S175" s="10">
        <v>46210</v>
      </c>
      <c r="T175" s="10">
        <v>46217</v>
      </c>
      <c r="U175" s="10">
        <v>46217</v>
      </c>
      <c r="V175" s="10">
        <v>46224</v>
      </c>
      <c r="W175" s="10">
        <v>46224</v>
      </c>
      <c r="X175" s="10">
        <v>46231</v>
      </c>
      <c r="Y175" s="10">
        <v>46231</v>
      </c>
      <c r="Z175" s="10">
        <v>46238</v>
      </c>
      <c r="AA175" s="10">
        <v>46238</v>
      </c>
      <c r="AB175" s="10">
        <v>46245</v>
      </c>
      <c r="AC175" s="10">
        <v>46245</v>
      </c>
      <c r="AD175" s="10">
        <v>46252</v>
      </c>
      <c r="AE175" s="10">
        <v>46252</v>
      </c>
      <c r="AF175" s="5">
        <f t="shared" si="3"/>
        <v>48</v>
      </c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</row>
    <row r="176" spans="1:45" ht="27.6" hidden="1">
      <c r="A176" s="22">
        <v>82</v>
      </c>
      <c r="B176" s="6" t="s">
        <v>315</v>
      </c>
      <c r="C176" s="6" t="s">
        <v>677</v>
      </c>
      <c r="D176" s="9" t="s">
        <v>327</v>
      </c>
      <c r="E176" s="9" t="s">
        <v>328</v>
      </c>
      <c r="F176" s="9" t="s">
        <v>318</v>
      </c>
      <c r="G176" s="6" t="s">
        <v>51</v>
      </c>
      <c r="H176" s="12" t="str">
        <f t="shared" si="2"/>
        <v>MK3001 Product and Market Fit</v>
      </c>
      <c r="I176" s="9" t="s">
        <v>319</v>
      </c>
      <c r="J176" s="9" t="s">
        <v>89</v>
      </c>
      <c r="K176" s="9" t="s">
        <v>320</v>
      </c>
      <c r="L176" s="6">
        <v>3</v>
      </c>
      <c r="M176" s="6">
        <v>6</v>
      </c>
      <c r="N176" s="9" t="s">
        <v>321</v>
      </c>
      <c r="O176" s="9" t="s">
        <v>331</v>
      </c>
      <c r="P176" s="10">
        <v>46203</v>
      </c>
      <c r="Q176" s="10">
        <v>46203</v>
      </c>
      <c r="R176" s="10">
        <v>46210</v>
      </c>
      <c r="S176" s="10">
        <v>46210</v>
      </c>
      <c r="T176" s="10">
        <v>46217</v>
      </c>
      <c r="U176" s="10">
        <v>46217</v>
      </c>
      <c r="V176" s="10">
        <v>46224</v>
      </c>
      <c r="W176" s="10">
        <v>46224</v>
      </c>
      <c r="X176" s="10">
        <v>46231</v>
      </c>
      <c r="Y176" s="10">
        <v>46231</v>
      </c>
      <c r="Z176" s="10">
        <v>46238</v>
      </c>
      <c r="AA176" s="10">
        <v>46238</v>
      </c>
      <c r="AB176" s="10">
        <v>46245</v>
      </c>
      <c r="AC176" s="10">
        <v>46245</v>
      </c>
      <c r="AD176" s="10">
        <v>46252</v>
      </c>
      <c r="AE176" s="10">
        <v>46252</v>
      </c>
      <c r="AF176" s="5">
        <f t="shared" si="3"/>
        <v>48</v>
      </c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</row>
    <row r="177" spans="1:45" ht="27.6" hidden="1">
      <c r="A177" s="6">
        <v>83</v>
      </c>
      <c r="B177" s="6" t="s">
        <v>315</v>
      </c>
      <c r="C177" s="6" t="s">
        <v>677</v>
      </c>
      <c r="D177" s="9" t="s">
        <v>327</v>
      </c>
      <c r="E177" s="29" t="s">
        <v>328</v>
      </c>
      <c r="F177" s="29" t="s">
        <v>332</v>
      </c>
      <c r="G177" s="6" t="s">
        <v>51</v>
      </c>
      <c r="H177" s="12" t="str">
        <f t="shared" si="2"/>
        <v>MK3001 Product and Market Fit</v>
      </c>
      <c r="I177" s="29" t="s">
        <v>333</v>
      </c>
      <c r="J177" s="29" t="s">
        <v>89</v>
      </c>
      <c r="K177" s="9" t="s">
        <v>320</v>
      </c>
      <c r="L177" s="6">
        <v>3</v>
      </c>
      <c r="M177" s="6">
        <v>6</v>
      </c>
      <c r="N177" s="9" t="s">
        <v>321</v>
      </c>
      <c r="O177" s="9" t="s">
        <v>329</v>
      </c>
      <c r="P177" s="10">
        <v>46203</v>
      </c>
      <c r="Q177" s="10">
        <v>46203</v>
      </c>
      <c r="R177" s="10">
        <v>46210</v>
      </c>
      <c r="S177" s="10">
        <v>46210</v>
      </c>
      <c r="T177" s="10">
        <v>46217</v>
      </c>
      <c r="U177" s="10">
        <v>46217</v>
      </c>
      <c r="V177" s="10">
        <v>46224</v>
      </c>
      <c r="W177" s="10">
        <v>46224</v>
      </c>
      <c r="X177" s="10">
        <v>46231</v>
      </c>
      <c r="Y177" s="10">
        <v>46231</v>
      </c>
      <c r="Z177" s="10">
        <v>46238</v>
      </c>
      <c r="AA177" s="10">
        <v>46238</v>
      </c>
      <c r="AB177" s="10">
        <v>46245</v>
      </c>
      <c r="AC177" s="10">
        <v>46245</v>
      </c>
      <c r="AD177" s="10">
        <v>46252</v>
      </c>
      <c r="AE177" s="10">
        <v>46252</v>
      </c>
      <c r="AF177" s="5">
        <f>AF174/6</f>
        <v>8</v>
      </c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</row>
    <row r="178" spans="1:45" ht="27.6" hidden="1">
      <c r="A178" s="6">
        <v>83</v>
      </c>
      <c r="B178" s="6" t="s">
        <v>315</v>
      </c>
      <c r="C178" s="6" t="s">
        <v>677</v>
      </c>
      <c r="D178" s="9" t="s">
        <v>327</v>
      </c>
      <c r="E178" s="29" t="s">
        <v>328</v>
      </c>
      <c r="F178" s="29" t="s">
        <v>332</v>
      </c>
      <c r="G178" s="6" t="s">
        <v>51</v>
      </c>
      <c r="H178" s="12" t="str">
        <f t="shared" si="2"/>
        <v>MK3001 Product and Market Fit</v>
      </c>
      <c r="I178" s="29" t="s">
        <v>333</v>
      </c>
      <c r="J178" s="29" t="s">
        <v>89</v>
      </c>
      <c r="K178" s="9" t="s">
        <v>320</v>
      </c>
      <c r="L178" s="6">
        <v>3</v>
      </c>
      <c r="M178" s="6">
        <v>6</v>
      </c>
      <c r="N178" s="9" t="s">
        <v>321</v>
      </c>
      <c r="O178" s="9" t="s">
        <v>330</v>
      </c>
      <c r="P178" s="10">
        <v>46203</v>
      </c>
      <c r="Q178" s="10">
        <v>46203</v>
      </c>
      <c r="R178" s="10">
        <v>46210</v>
      </c>
      <c r="S178" s="10">
        <v>46210</v>
      </c>
      <c r="T178" s="10">
        <v>46217</v>
      </c>
      <c r="U178" s="10">
        <v>46217</v>
      </c>
      <c r="V178" s="10">
        <v>46224</v>
      </c>
      <c r="W178" s="10">
        <v>46224</v>
      </c>
      <c r="X178" s="10">
        <v>46231</v>
      </c>
      <c r="Y178" s="10">
        <v>46231</v>
      </c>
      <c r="Z178" s="10">
        <v>46238</v>
      </c>
      <c r="AA178" s="10">
        <v>46238</v>
      </c>
      <c r="AB178" s="10">
        <v>46245</v>
      </c>
      <c r="AC178" s="10">
        <v>46245</v>
      </c>
      <c r="AD178" s="10">
        <v>46252</v>
      </c>
      <c r="AE178" s="10">
        <v>46252</v>
      </c>
      <c r="AF178" s="5">
        <f t="shared" ref="AF178:AF179" si="4">AF177/6</f>
        <v>1.3333333333333333</v>
      </c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</row>
    <row r="179" spans="1:45" ht="27.6" hidden="1">
      <c r="A179" s="6">
        <v>83</v>
      </c>
      <c r="B179" s="6" t="s">
        <v>315</v>
      </c>
      <c r="C179" s="6" t="s">
        <v>677</v>
      </c>
      <c r="D179" s="9" t="s">
        <v>327</v>
      </c>
      <c r="E179" s="29" t="s">
        <v>328</v>
      </c>
      <c r="F179" s="29" t="s">
        <v>332</v>
      </c>
      <c r="G179" s="6" t="s">
        <v>51</v>
      </c>
      <c r="H179" s="12" t="str">
        <f t="shared" si="2"/>
        <v>MK3001 Product and Market Fit</v>
      </c>
      <c r="I179" s="29" t="s">
        <v>333</v>
      </c>
      <c r="J179" s="29" t="s">
        <v>89</v>
      </c>
      <c r="K179" s="9" t="s">
        <v>320</v>
      </c>
      <c r="L179" s="6">
        <v>3</v>
      </c>
      <c r="M179" s="6">
        <v>6</v>
      </c>
      <c r="N179" s="9" t="s">
        <v>321</v>
      </c>
      <c r="O179" s="9" t="s">
        <v>334</v>
      </c>
      <c r="P179" s="10">
        <v>46203</v>
      </c>
      <c r="Q179" s="10">
        <v>46203</v>
      </c>
      <c r="R179" s="10">
        <v>46210</v>
      </c>
      <c r="S179" s="10">
        <v>46210</v>
      </c>
      <c r="T179" s="10">
        <v>46217</v>
      </c>
      <c r="U179" s="10">
        <v>46217</v>
      </c>
      <c r="V179" s="10">
        <v>46224</v>
      </c>
      <c r="W179" s="10">
        <v>46224</v>
      </c>
      <c r="X179" s="10">
        <v>46231</v>
      </c>
      <c r="Y179" s="10">
        <v>46231</v>
      </c>
      <c r="Z179" s="10">
        <v>46238</v>
      </c>
      <c r="AA179" s="10">
        <v>46238</v>
      </c>
      <c r="AB179" s="10">
        <v>46245</v>
      </c>
      <c r="AC179" s="10">
        <v>46245</v>
      </c>
      <c r="AD179" s="10">
        <v>46252</v>
      </c>
      <c r="AE179" s="10">
        <v>46252</v>
      </c>
      <c r="AF179" s="5">
        <f t="shared" si="4"/>
        <v>0.22222222222222221</v>
      </c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</row>
    <row r="180" spans="1:45" ht="27.6" hidden="1">
      <c r="A180" s="22">
        <v>84</v>
      </c>
      <c r="B180" s="6" t="s">
        <v>315</v>
      </c>
      <c r="C180" s="6" t="s">
        <v>677</v>
      </c>
      <c r="D180" s="9" t="s">
        <v>335</v>
      </c>
      <c r="E180" s="9" t="s">
        <v>336</v>
      </c>
      <c r="F180" s="9" t="s">
        <v>337</v>
      </c>
      <c r="G180" s="6" t="s">
        <v>51</v>
      </c>
      <c r="H180" s="12" t="str">
        <f t="shared" si="2"/>
        <v>MK3051 Global Product Market Fit</v>
      </c>
      <c r="I180" s="9" t="s">
        <v>338</v>
      </c>
      <c r="J180" s="9" t="s">
        <v>84</v>
      </c>
      <c r="K180" s="9" t="s">
        <v>320</v>
      </c>
      <c r="L180" s="6">
        <v>3</v>
      </c>
      <c r="M180" s="6">
        <v>6</v>
      </c>
      <c r="N180" s="9" t="s">
        <v>321</v>
      </c>
      <c r="O180" s="9" t="s">
        <v>339</v>
      </c>
      <c r="P180" s="10">
        <v>46202</v>
      </c>
      <c r="Q180" s="10">
        <v>46202</v>
      </c>
      <c r="R180" s="10">
        <v>46209</v>
      </c>
      <c r="S180" s="10">
        <v>46209</v>
      </c>
      <c r="T180" s="10">
        <v>46216</v>
      </c>
      <c r="U180" s="10">
        <v>46216</v>
      </c>
      <c r="V180" s="10">
        <v>46223</v>
      </c>
      <c r="W180" s="10">
        <v>46223</v>
      </c>
      <c r="X180" s="10">
        <v>46230</v>
      </c>
      <c r="Y180" s="10">
        <v>46230</v>
      </c>
      <c r="Z180" s="10">
        <v>46237</v>
      </c>
      <c r="AA180" s="10">
        <v>46237</v>
      </c>
      <c r="AB180" s="10">
        <v>46244</v>
      </c>
      <c r="AC180" s="10">
        <v>46244</v>
      </c>
      <c r="AD180" s="10">
        <v>46253</v>
      </c>
      <c r="AE180" s="10">
        <v>46253</v>
      </c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</row>
    <row r="181" spans="1:45" ht="27.6" hidden="1">
      <c r="A181" s="22">
        <v>84</v>
      </c>
      <c r="B181" s="6" t="s">
        <v>315</v>
      </c>
      <c r="C181" s="6" t="s">
        <v>677</v>
      </c>
      <c r="D181" s="9" t="s">
        <v>335</v>
      </c>
      <c r="E181" s="9" t="s">
        <v>336</v>
      </c>
      <c r="F181" s="9" t="s">
        <v>337</v>
      </c>
      <c r="G181" s="6" t="s">
        <v>51</v>
      </c>
      <c r="H181" s="12" t="str">
        <f t="shared" si="2"/>
        <v>MK3051 Global Product Market Fit</v>
      </c>
      <c r="I181" s="9" t="s">
        <v>338</v>
      </c>
      <c r="J181" s="9" t="s">
        <v>84</v>
      </c>
      <c r="K181" s="9" t="s">
        <v>320</v>
      </c>
      <c r="L181" s="6">
        <v>3</v>
      </c>
      <c r="M181" s="6">
        <v>6</v>
      </c>
      <c r="N181" s="9" t="s">
        <v>321</v>
      </c>
      <c r="O181" s="9" t="s">
        <v>331</v>
      </c>
      <c r="P181" s="10">
        <v>46202</v>
      </c>
      <c r="Q181" s="10">
        <v>46202</v>
      </c>
      <c r="R181" s="10">
        <v>46209</v>
      </c>
      <c r="S181" s="10">
        <v>46209</v>
      </c>
      <c r="T181" s="10">
        <v>46216</v>
      </c>
      <c r="U181" s="10">
        <v>46216</v>
      </c>
      <c r="V181" s="10">
        <v>46223</v>
      </c>
      <c r="W181" s="10">
        <v>46223</v>
      </c>
      <c r="X181" s="10">
        <v>46230</v>
      </c>
      <c r="Y181" s="10">
        <v>46230</v>
      </c>
      <c r="Z181" s="10">
        <v>46237</v>
      </c>
      <c r="AA181" s="10">
        <v>46237</v>
      </c>
      <c r="AB181" s="10">
        <v>46244</v>
      </c>
      <c r="AC181" s="10">
        <v>46244</v>
      </c>
      <c r="AD181" s="10">
        <v>46253</v>
      </c>
      <c r="AE181" s="10">
        <v>46253</v>
      </c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</row>
    <row r="182" spans="1:45" ht="27.6" hidden="1">
      <c r="A182" s="22">
        <v>84</v>
      </c>
      <c r="B182" s="6" t="s">
        <v>315</v>
      </c>
      <c r="C182" s="6" t="s">
        <v>677</v>
      </c>
      <c r="D182" s="9" t="s">
        <v>335</v>
      </c>
      <c r="E182" s="9" t="s">
        <v>336</v>
      </c>
      <c r="F182" s="9" t="s">
        <v>337</v>
      </c>
      <c r="G182" s="6" t="s">
        <v>51</v>
      </c>
      <c r="H182" s="12" t="str">
        <f t="shared" si="2"/>
        <v>MK3051 Global Product Market Fit</v>
      </c>
      <c r="I182" s="9" t="s">
        <v>338</v>
      </c>
      <c r="J182" s="9" t="s">
        <v>84</v>
      </c>
      <c r="K182" s="9" t="s">
        <v>320</v>
      </c>
      <c r="L182" s="6">
        <v>3</v>
      </c>
      <c r="M182" s="6">
        <v>6</v>
      </c>
      <c r="N182" s="9" t="s">
        <v>321</v>
      </c>
      <c r="O182" s="9" t="s">
        <v>330</v>
      </c>
      <c r="P182" s="10">
        <v>46202</v>
      </c>
      <c r="Q182" s="10">
        <v>46202</v>
      </c>
      <c r="R182" s="10">
        <v>46209</v>
      </c>
      <c r="S182" s="10">
        <v>46209</v>
      </c>
      <c r="T182" s="10">
        <v>46216</v>
      </c>
      <c r="U182" s="10">
        <v>46216</v>
      </c>
      <c r="V182" s="10">
        <v>46223</v>
      </c>
      <c r="W182" s="10">
        <v>46223</v>
      </c>
      <c r="X182" s="10">
        <v>46230</v>
      </c>
      <c r="Y182" s="10">
        <v>46230</v>
      </c>
      <c r="Z182" s="10">
        <v>46237</v>
      </c>
      <c r="AA182" s="10">
        <v>46237</v>
      </c>
      <c r="AB182" s="10">
        <v>46244</v>
      </c>
      <c r="AC182" s="10">
        <v>46244</v>
      </c>
      <c r="AD182" s="10">
        <v>46253</v>
      </c>
      <c r="AE182" s="10">
        <v>46253</v>
      </c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</row>
    <row r="183" spans="1:45" ht="27.6" hidden="1">
      <c r="A183" s="6">
        <v>85</v>
      </c>
      <c r="B183" s="6" t="s">
        <v>315</v>
      </c>
      <c r="C183" s="6" t="s">
        <v>677</v>
      </c>
      <c r="D183" s="9" t="s">
        <v>340</v>
      </c>
      <c r="E183" s="9" t="s">
        <v>341</v>
      </c>
      <c r="F183" s="9" t="s">
        <v>318</v>
      </c>
      <c r="G183" s="6" t="s">
        <v>342</v>
      </c>
      <c r="H183" s="12" t="str">
        <f t="shared" si="2"/>
        <v>MK3103 Production System and Technology</v>
      </c>
      <c r="I183" s="9" t="s">
        <v>343</v>
      </c>
      <c r="J183" s="9" t="s">
        <v>84</v>
      </c>
      <c r="K183" s="9" t="s">
        <v>320</v>
      </c>
      <c r="L183" s="6">
        <v>3</v>
      </c>
      <c r="M183" s="6">
        <v>6</v>
      </c>
      <c r="N183" s="9" t="s">
        <v>321</v>
      </c>
      <c r="O183" s="9" t="s">
        <v>344</v>
      </c>
      <c r="P183" s="10">
        <v>46202</v>
      </c>
      <c r="Q183" s="10">
        <v>46202</v>
      </c>
      <c r="R183" s="10">
        <v>46209</v>
      </c>
      <c r="S183" s="10">
        <v>46209</v>
      </c>
      <c r="T183" s="10">
        <v>46216</v>
      </c>
      <c r="U183" s="10">
        <v>46216</v>
      </c>
      <c r="V183" s="10">
        <v>46223</v>
      </c>
      <c r="W183" s="10">
        <v>46223</v>
      </c>
      <c r="X183" s="10">
        <v>46230</v>
      </c>
      <c r="Y183" s="10">
        <v>46230</v>
      </c>
      <c r="Z183" s="10">
        <v>46237</v>
      </c>
      <c r="AA183" s="10">
        <v>46237</v>
      </c>
      <c r="AB183" s="10">
        <v>46244</v>
      </c>
      <c r="AC183" s="10">
        <v>46244</v>
      </c>
      <c r="AD183" s="10">
        <v>46253</v>
      </c>
      <c r="AE183" s="10">
        <v>46253</v>
      </c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</row>
    <row r="184" spans="1:45" ht="27.6" hidden="1">
      <c r="A184" s="6">
        <v>85</v>
      </c>
      <c r="B184" s="6" t="s">
        <v>315</v>
      </c>
      <c r="C184" s="6" t="s">
        <v>677</v>
      </c>
      <c r="D184" s="9" t="s">
        <v>340</v>
      </c>
      <c r="E184" s="9" t="s">
        <v>341</v>
      </c>
      <c r="F184" s="9" t="s">
        <v>318</v>
      </c>
      <c r="G184" s="6" t="s">
        <v>342</v>
      </c>
      <c r="H184" s="12" t="str">
        <f t="shared" si="2"/>
        <v>MK3103 Production System and Technology</v>
      </c>
      <c r="I184" s="9" t="s">
        <v>343</v>
      </c>
      <c r="J184" s="9" t="s">
        <v>84</v>
      </c>
      <c r="K184" s="9" t="s">
        <v>320</v>
      </c>
      <c r="L184" s="6">
        <v>3</v>
      </c>
      <c r="M184" s="6">
        <v>6</v>
      </c>
      <c r="N184" s="9" t="s">
        <v>321</v>
      </c>
      <c r="O184" s="9" t="s">
        <v>345</v>
      </c>
      <c r="P184" s="10">
        <v>46202</v>
      </c>
      <c r="Q184" s="10">
        <v>46202</v>
      </c>
      <c r="R184" s="10">
        <v>46209</v>
      </c>
      <c r="S184" s="10">
        <v>46209</v>
      </c>
      <c r="T184" s="10">
        <v>46216</v>
      </c>
      <c r="U184" s="10">
        <v>46216</v>
      </c>
      <c r="V184" s="10">
        <v>46223</v>
      </c>
      <c r="W184" s="10">
        <v>46223</v>
      </c>
      <c r="X184" s="10">
        <v>46230</v>
      </c>
      <c r="Y184" s="10">
        <v>46230</v>
      </c>
      <c r="Z184" s="10">
        <v>46237</v>
      </c>
      <c r="AA184" s="10">
        <v>46237</v>
      </c>
      <c r="AB184" s="10">
        <v>46244</v>
      </c>
      <c r="AC184" s="10">
        <v>46244</v>
      </c>
      <c r="AD184" s="10">
        <v>46253</v>
      </c>
      <c r="AE184" s="10">
        <v>46253</v>
      </c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</row>
    <row r="185" spans="1:45" ht="27.6" hidden="1">
      <c r="A185" s="22">
        <v>86</v>
      </c>
      <c r="B185" s="6" t="s">
        <v>315</v>
      </c>
      <c r="C185" s="6" t="s">
        <v>677</v>
      </c>
      <c r="D185" s="9" t="s">
        <v>340</v>
      </c>
      <c r="E185" s="29" t="s">
        <v>341</v>
      </c>
      <c r="F185" s="29" t="s">
        <v>332</v>
      </c>
      <c r="G185" s="6" t="s">
        <v>342</v>
      </c>
      <c r="H185" s="12" t="str">
        <f t="shared" si="2"/>
        <v>MK3103 Production System and Technology</v>
      </c>
      <c r="I185" s="29" t="s">
        <v>346</v>
      </c>
      <c r="J185" s="29" t="s">
        <v>84</v>
      </c>
      <c r="K185" s="9" t="s">
        <v>320</v>
      </c>
      <c r="L185" s="6">
        <v>3</v>
      </c>
      <c r="M185" s="6">
        <v>6</v>
      </c>
      <c r="N185" s="9" t="s">
        <v>321</v>
      </c>
      <c r="O185" s="9" t="s">
        <v>347</v>
      </c>
      <c r="P185" s="10">
        <v>46202</v>
      </c>
      <c r="Q185" s="10">
        <v>46202</v>
      </c>
      <c r="R185" s="10">
        <v>46209</v>
      </c>
      <c r="S185" s="10">
        <v>46209</v>
      </c>
      <c r="T185" s="10">
        <v>46216</v>
      </c>
      <c r="U185" s="10">
        <v>46216</v>
      </c>
      <c r="V185" s="10">
        <v>46223</v>
      </c>
      <c r="W185" s="10">
        <v>46223</v>
      </c>
      <c r="X185" s="10">
        <v>46230</v>
      </c>
      <c r="Y185" s="10">
        <v>46230</v>
      </c>
      <c r="Z185" s="10">
        <v>46237</v>
      </c>
      <c r="AA185" s="10">
        <v>46237</v>
      </c>
      <c r="AB185" s="10">
        <v>46244</v>
      </c>
      <c r="AC185" s="10">
        <v>46244</v>
      </c>
      <c r="AD185" s="10">
        <v>46253</v>
      </c>
      <c r="AE185" s="10">
        <v>46253</v>
      </c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</row>
    <row r="186" spans="1:45" ht="27.6" hidden="1">
      <c r="A186" s="22">
        <v>86</v>
      </c>
      <c r="B186" s="6" t="s">
        <v>315</v>
      </c>
      <c r="C186" s="6" t="s">
        <v>677</v>
      </c>
      <c r="D186" s="9" t="s">
        <v>340</v>
      </c>
      <c r="E186" s="29" t="s">
        <v>341</v>
      </c>
      <c r="F186" s="29" t="s">
        <v>332</v>
      </c>
      <c r="G186" s="6" t="s">
        <v>342</v>
      </c>
      <c r="H186" s="12" t="str">
        <f t="shared" si="2"/>
        <v>MK3103 Production System and Technology</v>
      </c>
      <c r="I186" s="29" t="s">
        <v>346</v>
      </c>
      <c r="J186" s="29" t="s">
        <v>84</v>
      </c>
      <c r="K186" s="9" t="s">
        <v>320</v>
      </c>
      <c r="L186" s="6">
        <v>3</v>
      </c>
      <c r="M186" s="6">
        <v>6</v>
      </c>
      <c r="N186" s="9" t="s">
        <v>321</v>
      </c>
      <c r="O186" s="9" t="s">
        <v>348</v>
      </c>
      <c r="P186" s="10">
        <v>46202</v>
      </c>
      <c r="Q186" s="10">
        <v>46202</v>
      </c>
      <c r="R186" s="10">
        <v>46209</v>
      </c>
      <c r="S186" s="10">
        <v>46209</v>
      </c>
      <c r="T186" s="10">
        <v>46216</v>
      </c>
      <c r="U186" s="10">
        <v>46216</v>
      </c>
      <c r="V186" s="10">
        <v>46223</v>
      </c>
      <c r="W186" s="10">
        <v>46223</v>
      </c>
      <c r="X186" s="10">
        <v>46230</v>
      </c>
      <c r="Y186" s="10">
        <v>46230</v>
      </c>
      <c r="Z186" s="10">
        <v>46237</v>
      </c>
      <c r="AA186" s="10">
        <v>46237</v>
      </c>
      <c r="AB186" s="10">
        <v>46244</v>
      </c>
      <c r="AC186" s="10">
        <v>46244</v>
      </c>
      <c r="AD186" s="10">
        <v>46253</v>
      </c>
      <c r="AE186" s="10">
        <v>46253</v>
      </c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</row>
    <row r="187" spans="1:45" ht="27.6" hidden="1">
      <c r="A187" s="6">
        <v>87</v>
      </c>
      <c r="B187" s="6" t="s">
        <v>315</v>
      </c>
      <c r="C187" s="6" t="s">
        <v>677</v>
      </c>
      <c r="D187" s="9" t="s">
        <v>349</v>
      </c>
      <c r="E187" s="9" t="s">
        <v>350</v>
      </c>
      <c r="F187" s="9" t="s">
        <v>337</v>
      </c>
      <c r="G187" s="6" t="s">
        <v>342</v>
      </c>
      <c r="H187" s="12" t="str">
        <f t="shared" si="2"/>
        <v>MK3153 Global Production Systems and Technology</v>
      </c>
      <c r="I187" s="9" t="s">
        <v>319</v>
      </c>
      <c r="J187" s="9" t="s">
        <v>351</v>
      </c>
      <c r="K187" s="9" t="s">
        <v>320</v>
      </c>
      <c r="L187" s="6">
        <v>3</v>
      </c>
      <c r="M187" s="6">
        <v>6</v>
      </c>
      <c r="N187" s="9" t="s">
        <v>321</v>
      </c>
      <c r="O187" s="9" t="s">
        <v>352</v>
      </c>
      <c r="P187" s="10">
        <v>46205</v>
      </c>
      <c r="Q187" s="10">
        <v>46205</v>
      </c>
      <c r="R187" s="10">
        <v>46212</v>
      </c>
      <c r="S187" s="10">
        <v>46212</v>
      </c>
      <c r="T187" s="10">
        <v>46219</v>
      </c>
      <c r="U187" s="10">
        <v>46219</v>
      </c>
      <c r="V187" s="10">
        <v>46226</v>
      </c>
      <c r="W187" s="10">
        <v>46226</v>
      </c>
      <c r="X187" s="10">
        <v>46233</v>
      </c>
      <c r="Y187" s="10">
        <v>46233</v>
      </c>
      <c r="Z187" s="10">
        <v>46240</v>
      </c>
      <c r="AA187" s="10">
        <v>46240</v>
      </c>
      <c r="AB187" s="10">
        <v>46247</v>
      </c>
      <c r="AC187" s="10">
        <v>46247</v>
      </c>
      <c r="AD187" s="10">
        <v>46254</v>
      </c>
      <c r="AE187" s="10">
        <v>46254</v>
      </c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</row>
    <row r="188" spans="1:45" ht="27.6" hidden="1">
      <c r="A188" s="6">
        <v>87</v>
      </c>
      <c r="B188" s="6" t="s">
        <v>315</v>
      </c>
      <c r="C188" s="6" t="s">
        <v>677</v>
      </c>
      <c r="D188" s="9" t="s">
        <v>349</v>
      </c>
      <c r="E188" s="9" t="s">
        <v>350</v>
      </c>
      <c r="F188" s="9" t="s">
        <v>337</v>
      </c>
      <c r="G188" s="6" t="s">
        <v>342</v>
      </c>
      <c r="H188" s="12" t="str">
        <f t="shared" si="2"/>
        <v>MK3153 Global Production Systems and Technology</v>
      </c>
      <c r="I188" s="9" t="s">
        <v>319</v>
      </c>
      <c r="J188" s="9" t="s">
        <v>351</v>
      </c>
      <c r="K188" s="9" t="s">
        <v>320</v>
      </c>
      <c r="L188" s="6">
        <v>3</v>
      </c>
      <c r="M188" s="6">
        <v>6</v>
      </c>
      <c r="N188" s="9" t="s">
        <v>321</v>
      </c>
      <c r="O188" s="9" t="s">
        <v>353</v>
      </c>
      <c r="P188" s="10">
        <v>46205</v>
      </c>
      <c r="Q188" s="10">
        <v>46205</v>
      </c>
      <c r="R188" s="10">
        <v>46212</v>
      </c>
      <c r="S188" s="10">
        <v>46212</v>
      </c>
      <c r="T188" s="10">
        <v>46219</v>
      </c>
      <c r="U188" s="10">
        <v>46219</v>
      </c>
      <c r="V188" s="10">
        <v>46226</v>
      </c>
      <c r="W188" s="10">
        <v>46226</v>
      </c>
      <c r="X188" s="10">
        <v>46233</v>
      </c>
      <c r="Y188" s="10">
        <v>46233</v>
      </c>
      <c r="Z188" s="10">
        <v>46240</v>
      </c>
      <c r="AA188" s="10">
        <v>46240</v>
      </c>
      <c r="AB188" s="10">
        <v>46247</v>
      </c>
      <c r="AC188" s="10">
        <v>46247</v>
      </c>
      <c r="AD188" s="10">
        <v>46254</v>
      </c>
      <c r="AE188" s="10">
        <v>46254</v>
      </c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</row>
    <row r="189" spans="1:45" ht="41.4" hidden="1">
      <c r="A189" s="22">
        <v>88</v>
      </c>
      <c r="B189" s="6" t="s">
        <v>315</v>
      </c>
      <c r="C189" s="6" t="s">
        <v>677</v>
      </c>
      <c r="D189" s="9" t="s">
        <v>354</v>
      </c>
      <c r="E189" s="9" t="s">
        <v>355</v>
      </c>
      <c r="F189" s="9" t="s">
        <v>318</v>
      </c>
      <c r="G189" s="6" t="s">
        <v>186</v>
      </c>
      <c r="H189" s="12" t="str">
        <f t="shared" si="2"/>
        <v>MK3104 Human and Organisational Capital for Technopreneur</v>
      </c>
      <c r="I189" s="9" t="s">
        <v>343</v>
      </c>
      <c r="J189" s="9" t="s">
        <v>351</v>
      </c>
      <c r="K189" s="9" t="s">
        <v>320</v>
      </c>
      <c r="L189" s="6">
        <v>3</v>
      </c>
      <c r="M189" s="6">
        <v>6</v>
      </c>
      <c r="N189" s="9" t="s">
        <v>321</v>
      </c>
      <c r="O189" s="9" t="s">
        <v>356</v>
      </c>
      <c r="P189" s="10">
        <v>46205</v>
      </c>
      <c r="Q189" s="10">
        <v>46205</v>
      </c>
      <c r="R189" s="10">
        <v>46212</v>
      </c>
      <c r="S189" s="10">
        <v>46212</v>
      </c>
      <c r="T189" s="10">
        <v>46219</v>
      </c>
      <c r="U189" s="10">
        <v>46219</v>
      </c>
      <c r="V189" s="10">
        <v>46226</v>
      </c>
      <c r="W189" s="10">
        <v>46226</v>
      </c>
      <c r="X189" s="10">
        <v>46233</v>
      </c>
      <c r="Y189" s="10">
        <v>46233</v>
      </c>
      <c r="Z189" s="10">
        <v>46240</v>
      </c>
      <c r="AA189" s="10">
        <v>46240</v>
      </c>
      <c r="AB189" s="10">
        <v>46247</v>
      </c>
      <c r="AC189" s="10">
        <v>46247</v>
      </c>
      <c r="AD189" s="10">
        <v>46254</v>
      </c>
      <c r="AE189" s="10">
        <v>46254</v>
      </c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</row>
    <row r="190" spans="1:45" ht="41.4" hidden="1">
      <c r="A190" s="22">
        <v>88</v>
      </c>
      <c r="B190" s="6" t="s">
        <v>315</v>
      </c>
      <c r="C190" s="6" t="s">
        <v>677</v>
      </c>
      <c r="D190" s="9" t="s">
        <v>354</v>
      </c>
      <c r="E190" s="9" t="s">
        <v>355</v>
      </c>
      <c r="F190" s="9" t="s">
        <v>318</v>
      </c>
      <c r="G190" s="6" t="s">
        <v>186</v>
      </c>
      <c r="H190" s="12" t="str">
        <f t="shared" si="2"/>
        <v>MK3104 Human and Organisational Capital for Technopreneur</v>
      </c>
      <c r="I190" s="9" t="s">
        <v>343</v>
      </c>
      <c r="J190" s="9" t="s">
        <v>351</v>
      </c>
      <c r="K190" s="9" t="s">
        <v>320</v>
      </c>
      <c r="L190" s="6">
        <v>3</v>
      </c>
      <c r="M190" s="6">
        <v>6</v>
      </c>
      <c r="N190" s="9" t="s">
        <v>321</v>
      </c>
      <c r="O190" s="9" t="s">
        <v>357</v>
      </c>
      <c r="P190" s="10">
        <v>46205</v>
      </c>
      <c r="Q190" s="10">
        <v>46205</v>
      </c>
      <c r="R190" s="10">
        <v>46212</v>
      </c>
      <c r="S190" s="10">
        <v>46212</v>
      </c>
      <c r="T190" s="10">
        <v>46219</v>
      </c>
      <c r="U190" s="10">
        <v>46219</v>
      </c>
      <c r="V190" s="10">
        <v>46226</v>
      </c>
      <c r="W190" s="10">
        <v>46226</v>
      </c>
      <c r="X190" s="10">
        <v>46233</v>
      </c>
      <c r="Y190" s="10">
        <v>46233</v>
      </c>
      <c r="Z190" s="10">
        <v>46240</v>
      </c>
      <c r="AA190" s="10">
        <v>46240</v>
      </c>
      <c r="AB190" s="10">
        <v>46247</v>
      </c>
      <c r="AC190" s="10">
        <v>46247</v>
      </c>
      <c r="AD190" s="10">
        <v>46254</v>
      </c>
      <c r="AE190" s="10">
        <v>46254</v>
      </c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</row>
    <row r="191" spans="1:45" ht="41.4" hidden="1">
      <c r="A191" s="22">
        <v>88</v>
      </c>
      <c r="B191" s="6" t="s">
        <v>315</v>
      </c>
      <c r="C191" s="6" t="s">
        <v>677</v>
      </c>
      <c r="D191" s="9" t="s">
        <v>354</v>
      </c>
      <c r="E191" s="9" t="s">
        <v>355</v>
      </c>
      <c r="F191" s="9" t="s">
        <v>318</v>
      </c>
      <c r="G191" s="6" t="s">
        <v>186</v>
      </c>
      <c r="H191" s="12" t="str">
        <f t="shared" si="2"/>
        <v>MK3104 Human and Organisational Capital for Technopreneur</v>
      </c>
      <c r="I191" s="9" t="s">
        <v>343</v>
      </c>
      <c r="J191" s="9" t="s">
        <v>351</v>
      </c>
      <c r="K191" s="9" t="s">
        <v>320</v>
      </c>
      <c r="L191" s="6">
        <v>3</v>
      </c>
      <c r="M191" s="6">
        <v>6</v>
      </c>
      <c r="N191" s="9" t="s">
        <v>321</v>
      </c>
      <c r="O191" s="9" t="s">
        <v>358</v>
      </c>
      <c r="P191" s="10">
        <v>46205</v>
      </c>
      <c r="Q191" s="10">
        <v>46205</v>
      </c>
      <c r="R191" s="10">
        <v>46212</v>
      </c>
      <c r="S191" s="10">
        <v>46212</v>
      </c>
      <c r="T191" s="10">
        <v>46219</v>
      </c>
      <c r="U191" s="10">
        <v>46219</v>
      </c>
      <c r="V191" s="10">
        <v>46226</v>
      </c>
      <c r="W191" s="10">
        <v>46226</v>
      </c>
      <c r="X191" s="10">
        <v>46233</v>
      </c>
      <c r="Y191" s="10">
        <v>46233</v>
      </c>
      <c r="Z191" s="10">
        <v>46240</v>
      </c>
      <c r="AA191" s="10">
        <v>46240</v>
      </c>
      <c r="AB191" s="10">
        <v>46247</v>
      </c>
      <c r="AC191" s="10">
        <v>46247</v>
      </c>
      <c r="AD191" s="10">
        <v>46254</v>
      </c>
      <c r="AE191" s="10">
        <v>46254</v>
      </c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</row>
    <row r="192" spans="1:45" ht="41.4" hidden="1">
      <c r="A192" s="6">
        <v>89</v>
      </c>
      <c r="B192" s="6" t="s">
        <v>315</v>
      </c>
      <c r="C192" s="6" t="s">
        <v>677</v>
      </c>
      <c r="D192" s="9" t="s">
        <v>354</v>
      </c>
      <c r="E192" s="29" t="s">
        <v>355</v>
      </c>
      <c r="F192" s="29" t="s">
        <v>332</v>
      </c>
      <c r="G192" s="6" t="s">
        <v>186</v>
      </c>
      <c r="H192" s="12" t="str">
        <f t="shared" si="2"/>
        <v>MK3104 Human and Organisational Capital for Technopreneur</v>
      </c>
      <c r="I192" s="29" t="s">
        <v>346</v>
      </c>
      <c r="J192" s="29" t="s">
        <v>351</v>
      </c>
      <c r="K192" s="9" t="s">
        <v>320</v>
      </c>
      <c r="L192" s="6">
        <v>3</v>
      </c>
      <c r="M192" s="6">
        <v>6</v>
      </c>
      <c r="N192" s="9" t="s">
        <v>321</v>
      </c>
      <c r="O192" s="9" t="s">
        <v>359</v>
      </c>
      <c r="P192" s="10">
        <v>46205</v>
      </c>
      <c r="Q192" s="10">
        <v>46205</v>
      </c>
      <c r="R192" s="10">
        <v>46212</v>
      </c>
      <c r="S192" s="10">
        <v>46212</v>
      </c>
      <c r="T192" s="10">
        <v>46219</v>
      </c>
      <c r="U192" s="10">
        <v>46219</v>
      </c>
      <c r="V192" s="10">
        <v>46226</v>
      </c>
      <c r="W192" s="10">
        <v>46226</v>
      </c>
      <c r="X192" s="10">
        <v>46233</v>
      </c>
      <c r="Y192" s="10">
        <v>46233</v>
      </c>
      <c r="Z192" s="10">
        <v>46240</v>
      </c>
      <c r="AA192" s="10">
        <v>46240</v>
      </c>
      <c r="AB192" s="10">
        <v>46247</v>
      </c>
      <c r="AC192" s="10">
        <v>46247</v>
      </c>
      <c r="AD192" s="10">
        <v>46254</v>
      </c>
      <c r="AE192" s="10">
        <v>46254</v>
      </c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</row>
    <row r="193" spans="1:45" ht="41.4" hidden="1">
      <c r="A193" s="6">
        <v>89</v>
      </c>
      <c r="B193" s="6" t="s">
        <v>315</v>
      </c>
      <c r="C193" s="6" t="s">
        <v>677</v>
      </c>
      <c r="D193" s="9" t="s">
        <v>354</v>
      </c>
      <c r="E193" s="29" t="s">
        <v>355</v>
      </c>
      <c r="F193" s="29" t="s">
        <v>332</v>
      </c>
      <c r="G193" s="6" t="s">
        <v>186</v>
      </c>
      <c r="H193" s="12" t="str">
        <f t="shared" si="2"/>
        <v>MK3104 Human and Organisational Capital for Technopreneur</v>
      </c>
      <c r="I193" s="29" t="s">
        <v>346</v>
      </c>
      <c r="J193" s="29" t="s">
        <v>351</v>
      </c>
      <c r="K193" s="9" t="s">
        <v>320</v>
      </c>
      <c r="L193" s="6">
        <v>3</v>
      </c>
      <c r="M193" s="6">
        <v>6</v>
      </c>
      <c r="N193" s="9" t="s">
        <v>321</v>
      </c>
      <c r="O193" s="9" t="s">
        <v>360</v>
      </c>
      <c r="P193" s="10">
        <v>46205</v>
      </c>
      <c r="Q193" s="10">
        <v>46205</v>
      </c>
      <c r="R193" s="10">
        <v>46212</v>
      </c>
      <c r="S193" s="10">
        <v>46212</v>
      </c>
      <c r="T193" s="10">
        <v>46219</v>
      </c>
      <c r="U193" s="10">
        <v>46219</v>
      </c>
      <c r="V193" s="10">
        <v>46226</v>
      </c>
      <c r="W193" s="10">
        <v>46226</v>
      </c>
      <c r="X193" s="10">
        <v>46233</v>
      </c>
      <c r="Y193" s="10">
        <v>46233</v>
      </c>
      <c r="Z193" s="10">
        <v>46240</v>
      </c>
      <c r="AA193" s="10">
        <v>46240</v>
      </c>
      <c r="AB193" s="10">
        <v>46247</v>
      </c>
      <c r="AC193" s="10">
        <v>46247</v>
      </c>
      <c r="AD193" s="10">
        <v>46254</v>
      </c>
      <c r="AE193" s="10">
        <v>46254</v>
      </c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</row>
    <row r="194" spans="1:45" ht="41.4" hidden="1">
      <c r="A194" s="6">
        <v>89</v>
      </c>
      <c r="B194" s="6" t="s">
        <v>315</v>
      </c>
      <c r="C194" s="6" t="s">
        <v>677</v>
      </c>
      <c r="D194" s="9" t="s">
        <v>354</v>
      </c>
      <c r="E194" s="29" t="s">
        <v>355</v>
      </c>
      <c r="F194" s="29" t="s">
        <v>332</v>
      </c>
      <c r="G194" s="6" t="s">
        <v>186</v>
      </c>
      <c r="H194" s="12" t="str">
        <f t="shared" si="2"/>
        <v>MK3104 Human and Organisational Capital for Technopreneur</v>
      </c>
      <c r="I194" s="29" t="s">
        <v>346</v>
      </c>
      <c r="J194" s="29" t="s">
        <v>351</v>
      </c>
      <c r="K194" s="9" t="s">
        <v>320</v>
      </c>
      <c r="L194" s="6">
        <v>3</v>
      </c>
      <c r="M194" s="6">
        <v>6</v>
      </c>
      <c r="N194" s="9" t="s">
        <v>321</v>
      </c>
      <c r="O194" s="9" t="s">
        <v>358</v>
      </c>
      <c r="P194" s="10">
        <v>46205</v>
      </c>
      <c r="Q194" s="10">
        <v>46205</v>
      </c>
      <c r="R194" s="10">
        <v>46212</v>
      </c>
      <c r="S194" s="10">
        <v>46212</v>
      </c>
      <c r="T194" s="10">
        <v>46219</v>
      </c>
      <c r="U194" s="10">
        <v>46219</v>
      </c>
      <c r="V194" s="10">
        <v>46226</v>
      </c>
      <c r="W194" s="10">
        <v>46226</v>
      </c>
      <c r="X194" s="10">
        <v>46233</v>
      </c>
      <c r="Y194" s="10">
        <v>46233</v>
      </c>
      <c r="Z194" s="10">
        <v>46240</v>
      </c>
      <c r="AA194" s="10">
        <v>46240</v>
      </c>
      <c r="AB194" s="10">
        <v>46247</v>
      </c>
      <c r="AC194" s="10">
        <v>46247</v>
      </c>
      <c r="AD194" s="10">
        <v>46254</v>
      </c>
      <c r="AE194" s="10">
        <v>46254</v>
      </c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</row>
    <row r="195" spans="1:45" ht="41.4" hidden="1">
      <c r="A195" s="22">
        <v>90</v>
      </c>
      <c r="B195" s="6" t="s">
        <v>315</v>
      </c>
      <c r="C195" s="6" t="s">
        <v>677</v>
      </c>
      <c r="D195" s="9" t="s">
        <v>361</v>
      </c>
      <c r="E195" s="9" t="s">
        <v>362</v>
      </c>
      <c r="F195" s="9" t="s">
        <v>337</v>
      </c>
      <c r="G195" s="6" t="s">
        <v>186</v>
      </c>
      <c r="H195" s="12" t="str">
        <f t="shared" si="2"/>
        <v>MK3154 Human and Organizational Capital for Global Technopreneurship</v>
      </c>
      <c r="I195" s="9" t="s">
        <v>338</v>
      </c>
      <c r="J195" s="9" t="s">
        <v>89</v>
      </c>
      <c r="K195" s="9" t="s">
        <v>320</v>
      </c>
      <c r="L195" s="6">
        <v>3</v>
      </c>
      <c r="M195" s="6">
        <v>6</v>
      </c>
      <c r="N195" s="9" t="s">
        <v>321</v>
      </c>
      <c r="O195" s="9" t="s">
        <v>356</v>
      </c>
      <c r="P195" s="10">
        <v>46203</v>
      </c>
      <c r="Q195" s="10">
        <v>46203</v>
      </c>
      <c r="R195" s="10">
        <v>46210</v>
      </c>
      <c r="S195" s="10">
        <v>46210</v>
      </c>
      <c r="T195" s="10">
        <v>46217</v>
      </c>
      <c r="U195" s="10">
        <v>46217</v>
      </c>
      <c r="V195" s="10">
        <v>46224</v>
      </c>
      <c r="W195" s="10">
        <v>46224</v>
      </c>
      <c r="X195" s="10">
        <v>46231</v>
      </c>
      <c r="Y195" s="10">
        <v>46231</v>
      </c>
      <c r="Z195" s="10">
        <v>46238</v>
      </c>
      <c r="AA195" s="10">
        <v>46238</v>
      </c>
      <c r="AB195" s="10">
        <v>46245</v>
      </c>
      <c r="AC195" s="10">
        <v>46245</v>
      </c>
      <c r="AD195" s="10">
        <v>46252</v>
      </c>
      <c r="AE195" s="10">
        <v>46252</v>
      </c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</row>
    <row r="196" spans="1:45" ht="41.4" hidden="1">
      <c r="A196" s="22">
        <v>90</v>
      </c>
      <c r="B196" s="6" t="s">
        <v>315</v>
      </c>
      <c r="C196" s="6" t="s">
        <v>677</v>
      </c>
      <c r="D196" s="9" t="s">
        <v>361</v>
      </c>
      <c r="E196" s="9" t="s">
        <v>362</v>
      </c>
      <c r="F196" s="9" t="s">
        <v>337</v>
      </c>
      <c r="G196" s="6" t="s">
        <v>186</v>
      </c>
      <c r="H196" s="12" t="str">
        <f t="shared" si="2"/>
        <v>MK3154 Human and Organizational Capital for Global Technopreneurship</v>
      </c>
      <c r="I196" s="9" t="s">
        <v>338</v>
      </c>
      <c r="J196" s="9" t="s">
        <v>89</v>
      </c>
      <c r="K196" s="9" t="s">
        <v>320</v>
      </c>
      <c r="L196" s="6">
        <v>3</v>
      </c>
      <c r="M196" s="6">
        <v>6</v>
      </c>
      <c r="N196" s="9" t="s">
        <v>321</v>
      </c>
      <c r="O196" s="9" t="s">
        <v>363</v>
      </c>
      <c r="P196" s="10">
        <v>46203</v>
      </c>
      <c r="Q196" s="10">
        <v>46203</v>
      </c>
      <c r="R196" s="10">
        <v>46210</v>
      </c>
      <c r="S196" s="10">
        <v>46210</v>
      </c>
      <c r="T196" s="10">
        <v>46217</v>
      </c>
      <c r="U196" s="10">
        <v>46217</v>
      </c>
      <c r="V196" s="10">
        <v>46224</v>
      </c>
      <c r="W196" s="10">
        <v>46224</v>
      </c>
      <c r="X196" s="10">
        <v>46231</v>
      </c>
      <c r="Y196" s="10">
        <v>46231</v>
      </c>
      <c r="Z196" s="10">
        <v>46238</v>
      </c>
      <c r="AA196" s="10">
        <v>46238</v>
      </c>
      <c r="AB196" s="10">
        <v>46245</v>
      </c>
      <c r="AC196" s="10">
        <v>46245</v>
      </c>
      <c r="AD196" s="10">
        <v>46252</v>
      </c>
      <c r="AE196" s="10">
        <v>46252</v>
      </c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</row>
    <row r="197" spans="1:45" ht="41.4" hidden="1">
      <c r="A197" s="22">
        <v>90</v>
      </c>
      <c r="B197" s="6" t="s">
        <v>315</v>
      </c>
      <c r="C197" s="6" t="s">
        <v>677</v>
      </c>
      <c r="D197" s="9" t="s">
        <v>361</v>
      </c>
      <c r="E197" s="9" t="s">
        <v>362</v>
      </c>
      <c r="F197" s="9" t="s">
        <v>337</v>
      </c>
      <c r="G197" s="6" t="s">
        <v>186</v>
      </c>
      <c r="H197" s="12" t="str">
        <f t="shared" si="2"/>
        <v>MK3154 Human and Organizational Capital for Global Technopreneurship</v>
      </c>
      <c r="I197" s="9" t="s">
        <v>338</v>
      </c>
      <c r="J197" s="9" t="s">
        <v>89</v>
      </c>
      <c r="K197" s="9" t="s">
        <v>320</v>
      </c>
      <c r="L197" s="6">
        <v>3</v>
      </c>
      <c r="M197" s="6">
        <v>6</v>
      </c>
      <c r="N197" s="9" t="s">
        <v>321</v>
      </c>
      <c r="O197" s="9" t="s">
        <v>364</v>
      </c>
      <c r="P197" s="10">
        <v>46203</v>
      </c>
      <c r="Q197" s="10">
        <v>46203</v>
      </c>
      <c r="R197" s="10">
        <v>46210</v>
      </c>
      <c r="S197" s="10">
        <v>46210</v>
      </c>
      <c r="T197" s="10">
        <v>46217</v>
      </c>
      <c r="U197" s="10">
        <v>46217</v>
      </c>
      <c r="V197" s="10">
        <v>46224</v>
      </c>
      <c r="W197" s="10">
        <v>46224</v>
      </c>
      <c r="X197" s="10">
        <v>46231</v>
      </c>
      <c r="Y197" s="10">
        <v>46231</v>
      </c>
      <c r="Z197" s="10">
        <v>46238</v>
      </c>
      <c r="AA197" s="10">
        <v>46238</v>
      </c>
      <c r="AB197" s="10">
        <v>46245</v>
      </c>
      <c r="AC197" s="10">
        <v>46245</v>
      </c>
      <c r="AD197" s="10">
        <v>46252</v>
      </c>
      <c r="AE197" s="10">
        <v>46252</v>
      </c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</row>
    <row r="198" spans="1:45" ht="27.6" hidden="1">
      <c r="A198" s="6">
        <v>91</v>
      </c>
      <c r="B198" s="6" t="s">
        <v>315</v>
      </c>
      <c r="C198" s="6" t="s">
        <v>677</v>
      </c>
      <c r="D198" s="9" t="s">
        <v>365</v>
      </c>
      <c r="E198" s="9" t="s">
        <v>366</v>
      </c>
      <c r="F198" s="9" t="s">
        <v>318</v>
      </c>
      <c r="G198" s="6" t="s">
        <v>51</v>
      </c>
      <c r="H198" s="12" t="str">
        <f t="shared" si="2"/>
        <v>MK2001 Design Thinking for Sustainable Business (P)</v>
      </c>
      <c r="I198" s="9" t="s">
        <v>338</v>
      </c>
      <c r="J198" s="9" t="s">
        <v>351</v>
      </c>
      <c r="K198" s="9" t="s">
        <v>320</v>
      </c>
      <c r="L198" s="6">
        <v>3</v>
      </c>
      <c r="M198" s="6">
        <v>6</v>
      </c>
      <c r="N198" s="9" t="s">
        <v>321</v>
      </c>
      <c r="O198" s="9" t="s">
        <v>367</v>
      </c>
      <c r="P198" s="10">
        <v>46205</v>
      </c>
      <c r="Q198" s="10">
        <v>46205</v>
      </c>
      <c r="R198" s="10">
        <v>46212</v>
      </c>
      <c r="S198" s="10">
        <v>46212</v>
      </c>
      <c r="T198" s="10">
        <v>46219</v>
      </c>
      <c r="U198" s="10">
        <v>46219</v>
      </c>
      <c r="V198" s="10">
        <v>46226</v>
      </c>
      <c r="W198" s="10">
        <v>46226</v>
      </c>
      <c r="X198" s="10">
        <v>46233</v>
      </c>
      <c r="Y198" s="10">
        <v>46233</v>
      </c>
      <c r="Z198" s="10">
        <v>46240</v>
      </c>
      <c r="AA198" s="10">
        <v>46240</v>
      </c>
      <c r="AB198" s="10">
        <v>46247</v>
      </c>
      <c r="AC198" s="10">
        <v>46247</v>
      </c>
      <c r="AD198" s="10">
        <v>46254</v>
      </c>
      <c r="AE198" s="10">
        <v>46254</v>
      </c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</row>
    <row r="199" spans="1:45" ht="27.6" hidden="1">
      <c r="A199" s="6">
        <v>91</v>
      </c>
      <c r="B199" s="6" t="s">
        <v>315</v>
      </c>
      <c r="C199" s="6" t="s">
        <v>677</v>
      </c>
      <c r="D199" s="9" t="s">
        <v>365</v>
      </c>
      <c r="E199" s="9" t="s">
        <v>366</v>
      </c>
      <c r="F199" s="9" t="s">
        <v>318</v>
      </c>
      <c r="G199" s="6" t="s">
        <v>51</v>
      </c>
      <c r="H199" s="12" t="str">
        <f t="shared" si="2"/>
        <v>MK2001 Design Thinking for Sustainable Business (P)</v>
      </c>
      <c r="I199" s="9" t="s">
        <v>338</v>
      </c>
      <c r="J199" s="9" t="s">
        <v>351</v>
      </c>
      <c r="K199" s="9" t="s">
        <v>320</v>
      </c>
      <c r="L199" s="6">
        <v>3</v>
      </c>
      <c r="M199" s="6">
        <v>6</v>
      </c>
      <c r="N199" s="9" t="s">
        <v>321</v>
      </c>
      <c r="O199" s="9" t="s">
        <v>368</v>
      </c>
      <c r="P199" s="10">
        <v>46205</v>
      </c>
      <c r="Q199" s="10">
        <v>46205</v>
      </c>
      <c r="R199" s="10">
        <v>46212</v>
      </c>
      <c r="S199" s="10">
        <v>46212</v>
      </c>
      <c r="T199" s="10">
        <v>46219</v>
      </c>
      <c r="U199" s="10">
        <v>46219</v>
      </c>
      <c r="V199" s="10">
        <v>46226</v>
      </c>
      <c r="W199" s="10">
        <v>46226</v>
      </c>
      <c r="X199" s="10">
        <v>46233</v>
      </c>
      <c r="Y199" s="10">
        <v>46233</v>
      </c>
      <c r="Z199" s="10">
        <v>46240</v>
      </c>
      <c r="AA199" s="10">
        <v>46240</v>
      </c>
      <c r="AB199" s="10">
        <v>46247</v>
      </c>
      <c r="AC199" s="10">
        <v>46247</v>
      </c>
      <c r="AD199" s="10">
        <v>46254</v>
      </c>
      <c r="AE199" s="10">
        <v>46254</v>
      </c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</row>
    <row r="200" spans="1:45" ht="27.6" hidden="1">
      <c r="A200" s="22">
        <v>92</v>
      </c>
      <c r="B200" s="6" t="s">
        <v>315</v>
      </c>
      <c r="C200" s="6" t="s">
        <v>677</v>
      </c>
      <c r="D200" s="9" t="s">
        <v>365</v>
      </c>
      <c r="E200" s="9" t="s">
        <v>366</v>
      </c>
      <c r="F200" s="9" t="s">
        <v>369</v>
      </c>
      <c r="G200" s="6" t="s">
        <v>51</v>
      </c>
      <c r="H200" s="12" t="str">
        <f t="shared" si="2"/>
        <v>MK2001 Design Thinking for Sustainable Business (P)</v>
      </c>
      <c r="I200" s="9" t="s">
        <v>370</v>
      </c>
      <c r="J200" s="9" t="s">
        <v>351</v>
      </c>
      <c r="K200" s="9" t="s">
        <v>320</v>
      </c>
      <c r="L200" s="6">
        <v>3</v>
      </c>
      <c r="M200" s="6">
        <v>6</v>
      </c>
      <c r="N200" s="9" t="s">
        <v>321</v>
      </c>
      <c r="O200" s="9" t="s">
        <v>367</v>
      </c>
      <c r="P200" s="10">
        <v>46205</v>
      </c>
      <c r="Q200" s="10">
        <v>46205</v>
      </c>
      <c r="R200" s="10">
        <v>46212</v>
      </c>
      <c r="S200" s="10">
        <v>46212</v>
      </c>
      <c r="T200" s="10">
        <v>46219</v>
      </c>
      <c r="U200" s="10">
        <v>46219</v>
      </c>
      <c r="V200" s="10">
        <v>46226</v>
      </c>
      <c r="W200" s="10">
        <v>46226</v>
      </c>
      <c r="X200" s="10">
        <v>46233</v>
      </c>
      <c r="Y200" s="10">
        <v>46233</v>
      </c>
      <c r="Z200" s="10">
        <v>46240</v>
      </c>
      <c r="AA200" s="10">
        <v>46240</v>
      </c>
      <c r="AB200" s="10">
        <v>46247</v>
      </c>
      <c r="AC200" s="10">
        <v>46247</v>
      </c>
      <c r="AD200" s="10">
        <v>46254</v>
      </c>
      <c r="AE200" s="10">
        <v>46254</v>
      </c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</row>
    <row r="201" spans="1:45" ht="27.6" hidden="1">
      <c r="A201" s="22">
        <v>92</v>
      </c>
      <c r="B201" s="6" t="s">
        <v>315</v>
      </c>
      <c r="C201" s="6" t="s">
        <v>677</v>
      </c>
      <c r="D201" s="9" t="s">
        <v>365</v>
      </c>
      <c r="E201" s="9" t="s">
        <v>366</v>
      </c>
      <c r="F201" s="9" t="s">
        <v>369</v>
      </c>
      <c r="G201" s="6" t="s">
        <v>51</v>
      </c>
      <c r="H201" s="12" t="str">
        <f t="shared" si="2"/>
        <v>MK2001 Design Thinking for Sustainable Business (P)</v>
      </c>
      <c r="I201" s="9" t="s">
        <v>370</v>
      </c>
      <c r="J201" s="9" t="s">
        <v>351</v>
      </c>
      <c r="K201" s="9" t="s">
        <v>320</v>
      </c>
      <c r="L201" s="6">
        <v>3</v>
      </c>
      <c r="M201" s="6">
        <v>6</v>
      </c>
      <c r="N201" s="9" t="s">
        <v>321</v>
      </c>
      <c r="O201" s="9" t="s">
        <v>371</v>
      </c>
      <c r="P201" s="10">
        <v>46205</v>
      </c>
      <c r="Q201" s="10">
        <v>46205</v>
      </c>
      <c r="R201" s="10">
        <v>46212</v>
      </c>
      <c r="S201" s="10">
        <v>46212</v>
      </c>
      <c r="T201" s="10">
        <v>46219</v>
      </c>
      <c r="U201" s="10">
        <v>46219</v>
      </c>
      <c r="V201" s="10">
        <v>46226</v>
      </c>
      <c r="W201" s="10">
        <v>46226</v>
      </c>
      <c r="X201" s="10">
        <v>46233</v>
      </c>
      <c r="Y201" s="10">
        <v>46233</v>
      </c>
      <c r="Z201" s="10">
        <v>46240</v>
      </c>
      <c r="AA201" s="10">
        <v>46240</v>
      </c>
      <c r="AB201" s="10">
        <v>46247</v>
      </c>
      <c r="AC201" s="10">
        <v>46247</v>
      </c>
      <c r="AD201" s="10">
        <v>46254</v>
      </c>
      <c r="AE201" s="10">
        <v>46254</v>
      </c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</row>
    <row r="202" spans="1:45" ht="27.6" hidden="1">
      <c r="A202" s="6">
        <v>93</v>
      </c>
      <c r="B202" s="6" t="s">
        <v>315</v>
      </c>
      <c r="C202" s="6" t="s">
        <v>677</v>
      </c>
      <c r="D202" s="9" t="s">
        <v>365</v>
      </c>
      <c r="E202" s="29" t="s">
        <v>366</v>
      </c>
      <c r="F202" s="29" t="s">
        <v>332</v>
      </c>
      <c r="G202" s="6" t="s">
        <v>51</v>
      </c>
      <c r="H202" s="12" t="str">
        <f t="shared" si="2"/>
        <v>MK2001 Design Thinking for Sustainable Business (P)</v>
      </c>
      <c r="I202" s="29" t="s">
        <v>346</v>
      </c>
      <c r="J202" s="29" t="s">
        <v>89</v>
      </c>
      <c r="K202" s="9" t="s">
        <v>320</v>
      </c>
      <c r="L202" s="6">
        <v>3</v>
      </c>
      <c r="M202" s="6">
        <v>6</v>
      </c>
      <c r="N202" s="9" t="s">
        <v>321</v>
      </c>
      <c r="O202" s="9" t="s">
        <v>372</v>
      </c>
      <c r="P202" s="10">
        <v>46203</v>
      </c>
      <c r="Q202" s="10">
        <v>46203</v>
      </c>
      <c r="R202" s="10">
        <v>46210</v>
      </c>
      <c r="S202" s="10">
        <v>46210</v>
      </c>
      <c r="T202" s="10">
        <v>46217</v>
      </c>
      <c r="U202" s="10">
        <v>46217</v>
      </c>
      <c r="V202" s="10">
        <v>46224</v>
      </c>
      <c r="W202" s="10">
        <v>46224</v>
      </c>
      <c r="X202" s="10">
        <v>46231</v>
      </c>
      <c r="Y202" s="10">
        <v>46231</v>
      </c>
      <c r="Z202" s="10">
        <v>46238</v>
      </c>
      <c r="AA202" s="10">
        <v>46238</v>
      </c>
      <c r="AB202" s="10">
        <v>46245</v>
      </c>
      <c r="AC202" s="10">
        <v>46245</v>
      </c>
      <c r="AD202" s="10">
        <v>46252</v>
      </c>
      <c r="AE202" s="10">
        <v>46252</v>
      </c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</row>
    <row r="203" spans="1:45" ht="27.6" hidden="1">
      <c r="A203" s="6">
        <v>93</v>
      </c>
      <c r="B203" s="6" t="s">
        <v>315</v>
      </c>
      <c r="C203" s="6" t="s">
        <v>677</v>
      </c>
      <c r="D203" s="9" t="s">
        <v>365</v>
      </c>
      <c r="E203" s="29" t="s">
        <v>366</v>
      </c>
      <c r="F203" s="29" t="s">
        <v>332</v>
      </c>
      <c r="G203" s="6" t="s">
        <v>51</v>
      </c>
      <c r="H203" s="12" t="str">
        <f t="shared" si="2"/>
        <v>MK2001 Design Thinking for Sustainable Business (P)</v>
      </c>
      <c r="I203" s="29" t="s">
        <v>346</v>
      </c>
      <c r="J203" s="29" t="s">
        <v>89</v>
      </c>
      <c r="K203" s="9" t="s">
        <v>320</v>
      </c>
      <c r="L203" s="6">
        <v>3</v>
      </c>
      <c r="M203" s="6">
        <v>6</v>
      </c>
      <c r="N203" s="9" t="s">
        <v>321</v>
      </c>
      <c r="O203" s="9" t="s">
        <v>373</v>
      </c>
      <c r="P203" s="10">
        <v>46203</v>
      </c>
      <c r="Q203" s="10">
        <v>46203</v>
      </c>
      <c r="R203" s="10">
        <v>46210</v>
      </c>
      <c r="S203" s="10">
        <v>46210</v>
      </c>
      <c r="T203" s="10">
        <v>46217</v>
      </c>
      <c r="U203" s="10">
        <v>46217</v>
      </c>
      <c r="V203" s="10">
        <v>46224</v>
      </c>
      <c r="W203" s="10">
        <v>46224</v>
      </c>
      <c r="X203" s="10">
        <v>46231</v>
      </c>
      <c r="Y203" s="10">
        <v>46231</v>
      </c>
      <c r="Z203" s="10">
        <v>46238</v>
      </c>
      <c r="AA203" s="10">
        <v>46238</v>
      </c>
      <c r="AB203" s="10">
        <v>46245</v>
      </c>
      <c r="AC203" s="10">
        <v>46245</v>
      </c>
      <c r="AD203" s="10">
        <v>46252</v>
      </c>
      <c r="AE203" s="10">
        <v>46252</v>
      </c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</row>
    <row r="204" spans="1:45" ht="27.6" hidden="1">
      <c r="A204" s="22">
        <v>94</v>
      </c>
      <c r="B204" s="6" t="s">
        <v>315</v>
      </c>
      <c r="C204" s="6" t="s">
        <v>677</v>
      </c>
      <c r="D204" s="9" t="s">
        <v>374</v>
      </c>
      <c r="E204" s="9" t="s">
        <v>375</v>
      </c>
      <c r="F204" s="9" t="s">
        <v>337</v>
      </c>
      <c r="G204" s="6" t="s">
        <v>51</v>
      </c>
      <c r="H204" s="12" t="str">
        <f t="shared" si="2"/>
        <v>MK2051 Design Thinking for Sustainable Global Business</v>
      </c>
      <c r="I204" s="9" t="s">
        <v>343</v>
      </c>
      <c r="J204" s="9" t="s">
        <v>89</v>
      </c>
      <c r="K204" s="9" t="s">
        <v>320</v>
      </c>
      <c r="L204" s="6">
        <v>3</v>
      </c>
      <c r="M204" s="6">
        <v>6</v>
      </c>
      <c r="N204" s="9" t="s">
        <v>321</v>
      </c>
      <c r="O204" s="9" t="s">
        <v>367</v>
      </c>
      <c r="P204" s="10">
        <v>46203</v>
      </c>
      <c r="Q204" s="10">
        <v>46203</v>
      </c>
      <c r="R204" s="10">
        <v>46210</v>
      </c>
      <c r="S204" s="10">
        <v>46210</v>
      </c>
      <c r="T204" s="10">
        <v>46217</v>
      </c>
      <c r="U204" s="10">
        <v>46217</v>
      </c>
      <c r="V204" s="10">
        <v>46224</v>
      </c>
      <c r="W204" s="10">
        <v>46224</v>
      </c>
      <c r="X204" s="10">
        <v>46231</v>
      </c>
      <c r="Y204" s="10">
        <v>46231</v>
      </c>
      <c r="Z204" s="10">
        <v>46238</v>
      </c>
      <c r="AA204" s="10">
        <v>46238</v>
      </c>
      <c r="AB204" s="10">
        <v>46245</v>
      </c>
      <c r="AC204" s="10">
        <v>46245</v>
      </c>
      <c r="AD204" s="10">
        <v>46252</v>
      </c>
      <c r="AE204" s="10">
        <v>46252</v>
      </c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</row>
    <row r="205" spans="1:45" ht="27.6" hidden="1">
      <c r="A205" s="22">
        <v>94</v>
      </c>
      <c r="B205" s="6" t="s">
        <v>315</v>
      </c>
      <c r="C205" s="6" t="s">
        <v>677</v>
      </c>
      <c r="D205" s="9" t="s">
        <v>374</v>
      </c>
      <c r="E205" s="9" t="s">
        <v>375</v>
      </c>
      <c r="F205" s="9" t="s">
        <v>337</v>
      </c>
      <c r="G205" s="6" t="s">
        <v>51</v>
      </c>
      <c r="H205" s="12" t="str">
        <f t="shared" si="2"/>
        <v>MK2051 Design Thinking for Sustainable Global Business</v>
      </c>
      <c r="I205" s="9" t="s">
        <v>343</v>
      </c>
      <c r="J205" s="9" t="s">
        <v>89</v>
      </c>
      <c r="K205" s="9" t="s">
        <v>320</v>
      </c>
      <c r="L205" s="6">
        <v>3</v>
      </c>
      <c r="M205" s="6">
        <v>6</v>
      </c>
      <c r="N205" s="9" t="s">
        <v>321</v>
      </c>
      <c r="O205" s="9" t="s">
        <v>376</v>
      </c>
      <c r="P205" s="10">
        <v>46203</v>
      </c>
      <c r="Q205" s="10">
        <v>46203</v>
      </c>
      <c r="R205" s="10">
        <v>46210</v>
      </c>
      <c r="S205" s="10">
        <v>46210</v>
      </c>
      <c r="T205" s="10">
        <v>46217</v>
      </c>
      <c r="U205" s="10">
        <v>46217</v>
      </c>
      <c r="V205" s="10">
        <v>46224</v>
      </c>
      <c r="W205" s="10">
        <v>46224</v>
      </c>
      <c r="X205" s="10">
        <v>46231</v>
      </c>
      <c r="Y205" s="10">
        <v>46231</v>
      </c>
      <c r="Z205" s="10">
        <v>46238</v>
      </c>
      <c r="AA205" s="10">
        <v>46238</v>
      </c>
      <c r="AB205" s="10">
        <v>46245</v>
      </c>
      <c r="AC205" s="10">
        <v>46245</v>
      </c>
      <c r="AD205" s="10">
        <v>46252</v>
      </c>
      <c r="AE205" s="10">
        <v>46252</v>
      </c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</row>
    <row r="206" spans="1:45" ht="27.6" hidden="1">
      <c r="A206" s="6">
        <v>95</v>
      </c>
      <c r="B206" s="6" t="s">
        <v>315</v>
      </c>
      <c r="C206" s="6" t="s">
        <v>677</v>
      </c>
      <c r="D206" s="9" t="s">
        <v>377</v>
      </c>
      <c r="E206" s="9" t="s">
        <v>378</v>
      </c>
      <c r="F206" s="9" t="s">
        <v>318</v>
      </c>
      <c r="G206" s="6" t="s">
        <v>18</v>
      </c>
      <c r="H206" s="12" t="str">
        <f t="shared" si="2"/>
        <v>MK2101 Accounting for Business</v>
      </c>
      <c r="I206" s="9" t="s">
        <v>313</v>
      </c>
      <c r="J206" s="9" t="s">
        <v>84</v>
      </c>
      <c r="K206" s="9" t="s">
        <v>320</v>
      </c>
      <c r="L206" s="6">
        <v>3</v>
      </c>
      <c r="M206" s="6">
        <v>6</v>
      </c>
      <c r="N206" s="9" t="s">
        <v>321</v>
      </c>
      <c r="O206" s="9" t="s">
        <v>379</v>
      </c>
      <c r="P206" s="10">
        <v>46202</v>
      </c>
      <c r="Q206" s="10">
        <v>46202</v>
      </c>
      <c r="R206" s="10">
        <v>46209</v>
      </c>
      <c r="S206" s="10">
        <v>46209</v>
      </c>
      <c r="T206" s="10">
        <v>46216</v>
      </c>
      <c r="U206" s="10">
        <v>46216</v>
      </c>
      <c r="V206" s="10">
        <v>46223</v>
      </c>
      <c r="W206" s="10">
        <v>46223</v>
      </c>
      <c r="X206" s="10">
        <v>46230</v>
      </c>
      <c r="Y206" s="10">
        <v>46230</v>
      </c>
      <c r="Z206" s="10">
        <v>46237</v>
      </c>
      <c r="AA206" s="10">
        <v>46237</v>
      </c>
      <c r="AB206" s="10">
        <v>46244</v>
      </c>
      <c r="AC206" s="10">
        <v>46244</v>
      </c>
      <c r="AD206" s="10">
        <v>46253</v>
      </c>
      <c r="AE206" s="10">
        <v>46253</v>
      </c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</row>
    <row r="207" spans="1:45" ht="27.6" hidden="1">
      <c r="A207" s="6">
        <v>95</v>
      </c>
      <c r="B207" s="6" t="s">
        <v>315</v>
      </c>
      <c r="C207" s="6" t="s">
        <v>677</v>
      </c>
      <c r="D207" s="9" t="s">
        <v>377</v>
      </c>
      <c r="E207" s="9" t="s">
        <v>378</v>
      </c>
      <c r="F207" s="9" t="s">
        <v>318</v>
      </c>
      <c r="G207" s="6" t="s">
        <v>18</v>
      </c>
      <c r="H207" s="12" t="str">
        <f t="shared" si="2"/>
        <v>MK2101 Accounting for Business</v>
      </c>
      <c r="I207" s="9" t="s">
        <v>313</v>
      </c>
      <c r="J207" s="9" t="s">
        <v>84</v>
      </c>
      <c r="K207" s="9" t="s">
        <v>320</v>
      </c>
      <c r="L207" s="6">
        <v>3</v>
      </c>
      <c r="M207" s="6">
        <v>6</v>
      </c>
      <c r="N207" s="9" t="s">
        <v>321</v>
      </c>
      <c r="O207" s="9" t="s">
        <v>380</v>
      </c>
      <c r="P207" s="10">
        <v>46202</v>
      </c>
      <c r="Q207" s="10">
        <v>46202</v>
      </c>
      <c r="R207" s="10">
        <v>46209</v>
      </c>
      <c r="S207" s="10">
        <v>46209</v>
      </c>
      <c r="T207" s="10">
        <v>46216</v>
      </c>
      <c r="U207" s="10">
        <v>46216</v>
      </c>
      <c r="V207" s="10">
        <v>46223</v>
      </c>
      <c r="W207" s="10">
        <v>46223</v>
      </c>
      <c r="X207" s="10">
        <v>46230</v>
      </c>
      <c r="Y207" s="10">
        <v>46230</v>
      </c>
      <c r="Z207" s="10">
        <v>46237</v>
      </c>
      <c r="AA207" s="10">
        <v>46237</v>
      </c>
      <c r="AB207" s="10">
        <v>46244</v>
      </c>
      <c r="AC207" s="10">
        <v>46244</v>
      </c>
      <c r="AD207" s="10">
        <v>46253</v>
      </c>
      <c r="AE207" s="10">
        <v>46253</v>
      </c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</row>
    <row r="208" spans="1:45" ht="27.6" hidden="1">
      <c r="A208" s="22">
        <v>96</v>
      </c>
      <c r="B208" s="6" t="s">
        <v>315</v>
      </c>
      <c r="C208" s="6" t="s">
        <v>677</v>
      </c>
      <c r="D208" s="9" t="s">
        <v>377</v>
      </c>
      <c r="E208" s="9" t="s">
        <v>378</v>
      </c>
      <c r="F208" s="9" t="s">
        <v>369</v>
      </c>
      <c r="G208" s="6" t="s">
        <v>18</v>
      </c>
      <c r="H208" s="12" t="str">
        <f t="shared" si="2"/>
        <v>MK2101 Accounting for Business</v>
      </c>
      <c r="I208" s="9" t="s">
        <v>381</v>
      </c>
      <c r="J208" s="9" t="s">
        <v>84</v>
      </c>
      <c r="K208" s="9" t="s">
        <v>320</v>
      </c>
      <c r="L208" s="6">
        <v>3</v>
      </c>
      <c r="M208" s="6">
        <v>6</v>
      </c>
      <c r="N208" s="9" t="s">
        <v>321</v>
      </c>
      <c r="O208" s="9" t="s">
        <v>379</v>
      </c>
      <c r="P208" s="10">
        <v>46202</v>
      </c>
      <c r="Q208" s="10">
        <v>46202</v>
      </c>
      <c r="R208" s="10">
        <v>46209</v>
      </c>
      <c r="S208" s="10">
        <v>46209</v>
      </c>
      <c r="T208" s="10">
        <v>46216</v>
      </c>
      <c r="U208" s="10">
        <v>46216</v>
      </c>
      <c r="V208" s="10">
        <v>46223</v>
      </c>
      <c r="W208" s="10">
        <v>46223</v>
      </c>
      <c r="X208" s="10">
        <v>46230</v>
      </c>
      <c r="Y208" s="10">
        <v>46230</v>
      </c>
      <c r="Z208" s="10">
        <v>46237</v>
      </c>
      <c r="AA208" s="10">
        <v>46237</v>
      </c>
      <c r="AB208" s="10">
        <v>46244</v>
      </c>
      <c r="AC208" s="10">
        <v>46244</v>
      </c>
      <c r="AD208" s="10">
        <v>46253</v>
      </c>
      <c r="AE208" s="10">
        <v>46253</v>
      </c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</row>
    <row r="209" spans="1:45" ht="27.6" hidden="1">
      <c r="A209" s="22">
        <v>96</v>
      </c>
      <c r="B209" s="6" t="s">
        <v>315</v>
      </c>
      <c r="C209" s="6" t="s">
        <v>677</v>
      </c>
      <c r="D209" s="9" t="s">
        <v>377</v>
      </c>
      <c r="E209" s="9" t="s">
        <v>378</v>
      </c>
      <c r="F209" s="9" t="s">
        <v>369</v>
      </c>
      <c r="G209" s="6" t="s">
        <v>18</v>
      </c>
      <c r="H209" s="12" t="str">
        <f t="shared" si="2"/>
        <v>MK2101 Accounting for Business</v>
      </c>
      <c r="I209" s="9" t="s">
        <v>381</v>
      </c>
      <c r="J209" s="9" t="s">
        <v>84</v>
      </c>
      <c r="K209" s="9" t="s">
        <v>320</v>
      </c>
      <c r="L209" s="6">
        <v>3</v>
      </c>
      <c r="M209" s="6">
        <v>6</v>
      </c>
      <c r="N209" s="9" t="s">
        <v>321</v>
      </c>
      <c r="O209" s="9" t="s">
        <v>382</v>
      </c>
      <c r="P209" s="10">
        <v>46202</v>
      </c>
      <c r="Q209" s="10">
        <v>46202</v>
      </c>
      <c r="R209" s="10">
        <v>46209</v>
      </c>
      <c r="S209" s="10">
        <v>46209</v>
      </c>
      <c r="T209" s="10">
        <v>46216</v>
      </c>
      <c r="U209" s="10">
        <v>46216</v>
      </c>
      <c r="V209" s="10">
        <v>46223</v>
      </c>
      <c r="W209" s="10">
        <v>46223</v>
      </c>
      <c r="X209" s="10">
        <v>46230</v>
      </c>
      <c r="Y209" s="10">
        <v>46230</v>
      </c>
      <c r="Z209" s="10">
        <v>46237</v>
      </c>
      <c r="AA209" s="10">
        <v>46237</v>
      </c>
      <c r="AB209" s="10">
        <v>46244</v>
      </c>
      <c r="AC209" s="10">
        <v>46244</v>
      </c>
      <c r="AD209" s="10">
        <v>46253</v>
      </c>
      <c r="AE209" s="10">
        <v>46253</v>
      </c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</row>
    <row r="210" spans="1:45" ht="27.6" hidden="1">
      <c r="A210" s="6">
        <v>97</v>
      </c>
      <c r="B210" s="6" t="s">
        <v>315</v>
      </c>
      <c r="C210" s="6" t="s">
        <v>677</v>
      </c>
      <c r="D210" s="9" t="s">
        <v>377</v>
      </c>
      <c r="E210" s="29" t="s">
        <v>378</v>
      </c>
      <c r="F210" s="29" t="s">
        <v>332</v>
      </c>
      <c r="G210" s="6" t="s">
        <v>18</v>
      </c>
      <c r="H210" s="12" t="str">
        <f t="shared" si="2"/>
        <v>MK2101 Accounting for Business</v>
      </c>
      <c r="I210" s="29" t="s">
        <v>333</v>
      </c>
      <c r="J210" s="29" t="s">
        <v>351</v>
      </c>
      <c r="K210" s="9" t="s">
        <v>320</v>
      </c>
      <c r="L210" s="6">
        <v>3</v>
      </c>
      <c r="M210" s="6">
        <v>6</v>
      </c>
      <c r="N210" s="9" t="s">
        <v>321</v>
      </c>
      <c r="O210" s="9" t="s">
        <v>380</v>
      </c>
      <c r="P210" s="10">
        <v>46205</v>
      </c>
      <c r="Q210" s="10">
        <v>46205</v>
      </c>
      <c r="R210" s="10">
        <v>46212</v>
      </c>
      <c r="S210" s="10">
        <v>46212</v>
      </c>
      <c r="T210" s="10">
        <v>46219</v>
      </c>
      <c r="U210" s="10">
        <v>46219</v>
      </c>
      <c r="V210" s="10">
        <v>46226</v>
      </c>
      <c r="W210" s="10">
        <v>46226</v>
      </c>
      <c r="X210" s="10">
        <v>46233</v>
      </c>
      <c r="Y210" s="10">
        <v>46233</v>
      </c>
      <c r="Z210" s="10">
        <v>46240</v>
      </c>
      <c r="AA210" s="10">
        <v>46240</v>
      </c>
      <c r="AB210" s="10">
        <v>46247</v>
      </c>
      <c r="AC210" s="10">
        <v>46247</v>
      </c>
      <c r="AD210" s="10">
        <v>46254</v>
      </c>
      <c r="AE210" s="10">
        <v>46254</v>
      </c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</row>
    <row r="211" spans="1:45" ht="27.6" hidden="1">
      <c r="A211" s="6">
        <v>97</v>
      </c>
      <c r="B211" s="6" t="s">
        <v>315</v>
      </c>
      <c r="C211" s="6" t="s">
        <v>677</v>
      </c>
      <c r="D211" s="9" t="s">
        <v>377</v>
      </c>
      <c r="E211" s="29" t="s">
        <v>378</v>
      </c>
      <c r="F211" s="29" t="s">
        <v>332</v>
      </c>
      <c r="G211" s="6" t="s">
        <v>18</v>
      </c>
      <c r="H211" s="12" t="str">
        <f t="shared" si="2"/>
        <v>MK2101 Accounting for Business</v>
      </c>
      <c r="I211" s="29" t="s">
        <v>333</v>
      </c>
      <c r="J211" s="29" t="s">
        <v>351</v>
      </c>
      <c r="K211" s="9" t="s">
        <v>320</v>
      </c>
      <c r="L211" s="6">
        <v>3</v>
      </c>
      <c r="M211" s="6">
        <v>6</v>
      </c>
      <c r="N211" s="9" t="s">
        <v>321</v>
      </c>
      <c r="O211" s="9" t="s">
        <v>379</v>
      </c>
      <c r="P211" s="10">
        <v>46205</v>
      </c>
      <c r="Q211" s="10">
        <v>46205</v>
      </c>
      <c r="R211" s="10">
        <v>46212</v>
      </c>
      <c r="S211" s="10">
        <v>46212</v>
      </c>
      <c r="T211" s="10">
        <v>46219</v>
      </c>
      <c r="U211" s="10">
        <v>46219</v>
      </c>
      <c r="V211" s="10">
        <v>46226</v>
      </c>
      <c r="W211" s="10">
        <v>46226</v>
      </c>
      <c r="X211" s="10">
        <v>46233</v>
      </c>
      <c r="Y211" s="10">
        <v>46233</v>
      </c>
      <c r="Z211" s="10">
        <v>46240</v>
      </c>
      <c r="AA211" s="10">
        <v>46240</v>
      </c>
      <c r="AB211" s="10">
        <v>46247</v>
      </c>
      <c r="AC211" s="10">
        <v>46247</v>
      </c>
      <c r="AD211" s="10">
        <v>46254</v>
      </c>
      <c r="AE211" s="10">
        <v>46254</v>
      </c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</row>
    <row r="212" spans="1:45" ht="41.4" hidden="1">
      <c r="A212" s="22">
        <v>98</v>
      </c>
      <c r="B212" s="6" t="s">
        <v>315</v>
      </c>
      <c r="C212" s="6" t="s">
        <v>677</v>
      </c>
      <c r="D212" s="9" t="s">
        <v>383</v>
      </c>
      <c r="E212" s="9" t="s">
        <v>384</v>
      </c>
      <c r="F212" s="9" t="s">
        <v>337</v>
      </c>
      <c r="G212" s="6" t="s">
        <v>18</v>
      </c>
      <c r="H212" s="12" t="str">
        <f t="shared" si="2"/>
        <v>MK2151 Accounting for Business and International Practices</v>
      </c>
      <c r="I212" s="9" t="s">
        <v>343</v>
      </c>
      <c r="J212" s="9" t="s">
        <v>351</v>
      </c>
      <c r="K212" s="9" t="s">
        <v>320</v>
      </c>
      <c r="L212" s="6">
        <v>3</v>
      </c>
      <c r="M212" s="6">
        <v>6</v>
      </c>
      <c r="N212" s="9" t="s">
        <v>321</v>
      </c>
      <c r="O212" s="9" t="s">
        <v>380</v>
      </c>
      <c r="P212" s="10">
        <v>46205</v>
      </c>
      <c r="Q212" s="10">
        <v>46205</v>
      </c>
      <c r="R212" s="10">
        <v>46212</v>
      </c>
      <c r="S212" s="10">
        <v>46212</v>
      </c>
      <c r="T212" s="10">
        <v>46219</v>
      </c>
      <c r="U212" s="10">
        <v>46219</v>
      </c>
      <c r="V212" s="10">
        <v>46226</v>
      </c>
      <c r="W212" s="10">
        <v>46226</v>
      </c>
      <c r="X212" s="10">
        <v>46233</v>
      </c>
      <c r="Y212" s="10">
        <v>46233</v>
      </c>
      <c r="Z212" s="10">
        <v>46240</v>
      </c>
      <c r="AA212" s="10">
        <v>46240</v>
      </c>
      <c r="AB212" s="10">
        <v>46247</v>
      </c>
      <c r="AC212" s="10">
        <v>46247</v>
      </c>
      <c r="AD212" s="10">
        <v>46254</v>
      </c>
      <c r="AE212" s="10">
        <v>46254</v>
      </c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</row>
    <row r="213" spans="1:45" ht="41.4" hidden="1">
      <c r="A213" s="22">
        <v>98</v>
      </c>
      <c r="B213" s="6" t="s">
        <v>315</v>
      </c>
      <c r="C213" s="6" t="s">
        <v>677</v>
      </c>
      <c r="D213" s="9" t="s">
        <v>383</v>
      </c>
      <c r="E213" s="9" t="s">
        <v>384</v>
      </c>
      <c r="F213" s="9" t="s">
        <v>337</v>
      </c>
      <c r="G213" s="6" t="s">
        <v>18</v>
      </c>
      <c r="H213" s="12" t="str">
        <f t="shared" si="2"/>
        <v>MK2151 Accounting for Business and International Practices</v>
      </c>
      <c r="I213" s="9" t="s">
        <v>343</v>
      </c>
      <c r="J213" s="9" t="s">
        <v>351</v>
      </c>
      <c r="K213" s="9" t="s">
        <v>320</v>
      </c>
      <c r="L213" s="6">
        <v>3</v>
      </c>
      <c r="M213" s="6">
        <v>6</v>
      </c>
      <c r="N213" s="9" t="s">
        <v>321</v>
      </c>
      <c r="O213" s="9" t="s">
        <v>382</v>
      </c>
      <c r="P213" s="10">
        <v>46205</v>
      </c>
      <c r="Q213" s="10">
        <v>46205</v>
      </c>
      <c r="R213" s="10">
        <v>46212</v>
      </c>
      <c r="S213" s="10">
        <v>46212</v>
      </c>
      <c r="T213" s="10">
        <v>46219</v>
      </c>
      <c r="U213" s="10">
        <v>46219</v>
      </c>
      <c r="V213" s="10">
        <v>46226</v>
      </c>
      <c r="W213" s="10">
        <v>46226</v>
      </c>
      <c r="X213" s="10">
        <v>46233</v>
      </c>
      <c r="Y213" s="10">
        <v>46233</v>
      </c>
      <c r="Z213" s="10">
        <v>46240</v>
      </c>
      <c r="AA213" s="10">
        <v>46240</v>
      </c>
      <c r="AB213" s="10">
        <v>46247</v>
      </c>
      <c r="AC213" s="10">
        <v>46247</v>
      </c>
      <c r="AD213" s="10">
        <v>46254</v>
      </c>
      <c r="AE213" s="10">
        <v>46254</v>
      </c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</row>
    <row r="214" spans="1:45" ht="27.6" hidden="1">
      <c r="A214" s="6">
        <v>99</v>
      </c>
      <c r="B214" s="6" t="s">
        <v>315</v>
      </c>
      <c r="C214" s="6" t="s">
        <v>677</v>
      </c>
      <c r="D214" s="9" t="s">
        <v>385</v>
      </c>
      <c r="E214" s="9" t="s">
        <v>386</v>
      </c>
      <c r="F214" s="9" t="s">
        <v>318</v>
      </c>
      <c r="G214" s="6" t="s">
        <v>45</v>
      </c>
      <c r="H214" s="12" t="str">
        <f t="shared" si="2"/>
        <v>MK2201 Marketing for Technopreneur</v>
      </c>
      <c r="I214" s="9" t="s">
        <v>370</v>
      </c>
      <c r="J214" s="9" t="s">
        <v>89</v>
      </c>
      <c r="K214" s="9" t="s">
        <v>320</v>
      </c>
      <c r="L214" s="6">
        <v>3</v>
      </c>
      <c r="M214" s="6">
        <v>6</v>
      </c>
      <c r="N214" s="9" t="s">
        <v>321</v>
      </c>
      <c r="O214" s="9" t="s">
        <v>387</v>
      </c>
      <c r="P214" s="10">
        <v>46203</v>
      </c>
      <c r="Q214" s="10">
        <v>46203</v>
      </c>
      <c r="R214" s="10">
        <v>46210</v>
      </c>
      <c r="S214" s="10">
        <v>46210</v>
      </c>
      <c r="T214" s="10">
        <v>46217</v>
      </c>
      <c r="U214" s="10">
        <v>46217</v>
      </c>
      <c r="V214" s="10">
        <v>46224</v>
      </c>
      <c r="W214" s="10">
        <v>46224</v>
      </c>
      <c r="X214" s="10">
        <v>46231</v>
      </c>
      <c r="Y214" s="10">
        <v>46231</v>
      </c>
      <c r="Z214" s="10">
        <v>46238</v>
      </c>
      <c r="AA214" s="10">
        <v>46238</v>
      </c>
      <c r="AB214" s="10">
        <v>46245</v>
      </c>
      <c r="AC214" s="10">
        <v>46245</v>
      </c>
      <c r="AD214" s="10">
        <v>46252</v>
      </c>
      <c r="AE214" s="10">
        <v>46252</v>
      </c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</row>
    <row r="215" spans="1:45" ht="27.6" hidden="1">
      <c r="A215" s="6">
        <v>99</v>
      </c>
      <c r="B215" s="6" t="s">
        <v>315</v>
      </c>
      <c r="C215" s="6" t="s">
        <v>677</v>
      </c>
      <c r="D215" s="9" t="s">
        <v>385</v>
      </c>
      <c r="E215" s="9" t="s">
        <v>386</v>
      </c>
      <c r="F215" s="9" t="s">
        <v>318</v>
      </c>
      <c r="G215" s="6" t="s">
        <v>45</v>
      </c>
      <c r="H215" s="12" t="str">
        <f t="shared" si="2"/>
        <v>MK2201 Marketing for Technopreneur</v>
      </c>
      <c r="I215" s="9" t="s">
        <v>370</v>
      </c>
      <c r="J215" s="9" t="s">
        <v>89</v>
      </c>
      <c r="K215" s="9" t="s">
        <v>320</v>
      </c>
      <c r="L215" s="6">
        <v>3</v>
      </c>
      <c r="M215" s="6">
        <v>6</v>
      </c>
      <c r="N215" s="9" t="s">
        <v>321</v>
      </c>
      <c r="O215" s="9" t="s">
        <v>388</v>
      </c>
      <c r="P215" s="10">
        <v>46203</v>
      </c>
      <c r="Q215" s="10">
        <v>46203</v>
      </c>
      <c r="R215" s="10">
        <v>46210</v>
      </c>
      <c r="S215" s="10">
        <v>46210</v>
      </c>
      <c r="T215" s="10">
        <v>46217</v>
      </c>
      <c r="U215" s="10">
        <v>46217</v>
      </c>
      <c r="V215" s="10">
        <v>46224</v>
      </c>
      <c r="W215" s="10">
        <v>46224</v>
      </c>
      <c r="X215" s="10">
        <v>46231</v>
      </c>
      <c r="Y215" s="10">
        <v>46231</v>
      </c>
      <c r="Z215" s="10">
        <v>46238</v>
      </c>
      <c r="AA215" s="10">
        <v>46238</v>
      </c>
      <c r="AB215" s="10">
        <v>46245</v>
      </c>
      <c r="AC215" s="10">
        <v>46245</v>
      </c>
      <c r="AD215" s="10">
        <v>46252</v>
      </c>
      <c r="AE215" s="10">
        <v>46252</v>
      </c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</row>
    <row r="216" spans="1:45" ht="27.6" hidden="1">
      <c r="A216" s="6">
        <v>99</v>
      </c>
      <c r="B216" s="6" t="s">
        <v>315</v>
      </c>
      <c r="C216" s="6" t="s">
        <v>677</v>
      </c>
      <c r="D216" s="9" t="s">
        <v>385</v>
      </c>
      <c r="E216" s="9" t="s">
        <v>386</v>
      </c>
      <c r="F216" s="9" t="s">
        <v>318</v>
      </c>
      <c r="G216" s="6" t="s">
        <v>45</v>
      </c>
      <c r="H216" s="12" t="str">
        <f t="shared" si="2"/>
        <v>MK2201 Marketing for Technopreneur</v>
      </c>
      <c r="I216" s="9" t="s">
        <v>370</v>
      </c>
      <c r="J216" s="9" t="s">
        <v>89</v>
      </c>
      <c r="K216" s="9" t="s">
        <v>320</v>
      </c>
      <c r="L216" s="6">
        <v>3</v>
      </c>
      <c r="M216" s="6">
        <v>6</v>
      </c>
      <c r="N216" s="9" t="s">
        <v>321</v>
      </c>
      <c r="O216" s="9" t="s">
        <v>389</v>
      </c>
      <c r="P216" s="10">
        <v>46203</v>
      </c>
      <c r="Q216" s="10">
        <v>46203</v>
      </c>
      <c r="R216" s="10">
        <v>46210</v>
      </c>
      <c r="S216" s="10">
        <v>46210</v>
      </c>
      <c r="T216" s="10">
        <v>46217</v>
      </c>
      <c r="U216" s="10">
        <v>46217</v>
      </c>
      <c r="V216" s="10">
        <v>46224</v>
      </c>
      <c r="W216" s="10">
        <v>46224</v>
      </c>
      <c r="X216" s="10">
        <v>46231</v>
      </c>
      <c r="Y216" s="10">
        <v>46231</v>
      </c>
      <c r="Z216" s="10">
        <v>46238</v>
      </c>
      <c r="AA216" s="10">
        <v>46238</v>
      </c>
      <c r="AB216" s="10">
        <v>46245</v>
      </c>
      <c r="AC216" s="10">
        <v>46245</v>
      </c>
      <c r="AD216" s="10">
        <v>46252</v>
      </c>
      <c r="AE216" s="10">
        <v>46252</v>
      </c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</row>
    <row r="217" spans="1:45" ht="27.6" hidden="1">
      <c r="A217" s="22">
        <v>100</v>
      </c>
      <c r="B217" s="6" t="s">
        <v>315</v>
      </c>
      <c r="C217" s="6" t="s">
        <v>677</v>
      </c>
      <c r="D217" s="9" t="s">
        <v>385</v>
      </c>
      <c r="E217" s="9" t="s">
        <v>386</v>
      </c>
      <c r="F217" s="9" t="s">
        <v>369</v>
      </c>
      <c r="G217" s="6" t="s">
        <v>45</v>
      </c>
      <c r="H217" s="12" t="str">
        <f t="shared" si="2"/>
        <v>MK2201 Marketing for Technopreneur</v>
      </c>
      <c r="I217" s="9" t="s">
        <v>390</v>
      </c>
      <c r="J217" s="9" t="s">
        <v>89</v>
      </c>
      <c r="K217" s="9" t="s">
        <v>320</v>
      </c>
      <c r="L217" s="6">
        <v>3</v>
      </c>
      <c r="M217" s="6">
        <v>6</v>
      </c>
      <c r="N217" s="9" t="s">
        <v>321</v>
      </c>
      <c r="O217" s="9" t="s">
        <v>271</v>
      </c>
      <c r="P217" s="10">
        <v>46203</v>
      </c>
      <c r="Q217" s="10">
        <v>46203</v>
      </c>
      <c r="R217" s="10">
        <v>46210</v>
      </c>
      <c r="S217" s="10">
        <v>46210</v>
      </c>
      <c r="T217" s="10">
        <v>46217</v>
      </c>
      <c r="U217" s="10">
        <v>46217</v>
      </c>
      <c r="V217" s="10">
        <v>46224</v>
      </c>
      <c r="W217" s="10">
        <v>46224</v>
      </c>
      <c r="X217" s="10">
        <v>46231</v>
      </c>
      <c r="Y217" s="10">
        <v>46231</v>
      </c>
      <c r="Z217" s="10">
        <v>46238</v>
      </c>
      <c r="AA217" s="10">
        <v>46238</v>
      </c>
      <c r="AB217" s="10">
        <v>46245</v>
      </c>
      <c r="AC217" s="10">
        <v>46245</v>
      </c>
      <c r="AD217" s="10">
        <v>46252</v>
      </c>
      <c r="AE217" s="10">
        <v>46252</v>
      </c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</row>
    <row r="218" spans="1:45" ht="27.6" hidden="1">
      <c r="A218" s="22">
        <v>100</v>
      </c>
      <c r="B218" s="6" t="s">
        <v>315</v>
      </c>
      <c r="C218" s="6" t="s">
        <v>677</v>
      </c>
      <c r="D218" s="9" t="s">
        <v>385</v>
      </c>
      <c r="E218" s="9" t="s">
        <v>386</v>
      </c>
      <c r="F218" s="9" t="s">
        <v>369</v>
      </c>
      <c r="G218" s="6" t="s">
        <v>45</v>
      </c>
      <c r="H218" s="12" t="str">
        <f t="shared" si="2"/>
        <v>MK2201 Marketing for Technopreneur</v>
      </c>
      <c r="I218" s="9" t="s">
        <v>390</v>
      </c>
      <c r="J218" s="9" t="s">
        <v>89</v>
      </c>
      <c r="K218" s="9" t="s">
        <v>320</v>
      </c>
      <c r="L218" s="6">
        <v>3</v>
      </c>
      <c r="M218" s="6">
        <v>6</v>
      </c>
      <c r="N218" s="9" t="s">
        <v>321</v>
      </c>
      <c r="O218" s="9" t="s">
        <v>391</v>
      </c>
      <c r="P218" s="10">
        <v>46203</v>
      </c>
      <c r="Q218" s="10">
        <v>46203</v>
      </c>
      <c r="R218" s="10">
        <v>46210</v>
      </c>
      <c r="S218" s="10">
        <v>46210</v>
      </c>
      <c r="T218" s="10">
        <v>46217</v>
      </c>
      <c r="U218" s="10">
        <v>46217</v>
      </c>
      <c r="V218" s="10">
        <v>46224</v>
      </c>
      <c r="W218" s="10">
        <v>46224</v>
      </c>
      <c r="X218" s="10">
        <v>46231</v>
      </c>
      <c r="Y218" s="10">
        <v>46231</v>
      </c>
      <c r="Z218" s="10">
        <v>46238</v>
      </c>
      <c r="AA218" s="10">
        <v>46238</v>
      </c>
      <c r="AB218" s="10">
        <v>46245</v>
      </c>
      <c r="AC218" s="10">
        <v>46245</v>
      </c>
      <c r="AD218" s="10">
        <v>46252</v>
      </c>
      <c r="AE218" s="10">
        <v>46252</v>
      </c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</row>
    <row r="219" spans="1:45" ht="27.6" hidden="1">
      <c r="A219" s="22">
        <v>100</v>
      </c>
      <c r="B219" s="6" t="s">
        <v>315</v>
      </c>
      <c r="C219" s="6" t="s">
        <v>677</v>
      </c>
      <c r="D219" s="9" t="s">
        <v>385</v>
      </c>
      <c r="E219" s="9" t="s">
        <v>386</v>
      </c>
      <c r="F219" s="9" t="s">
        <v>369</v>
      </c>
      <c r="G219" s="6" t="s">
        <v>45</v>
      </c>
      <c r="H219" s="12" t="str">
        <f t="shared" si="2"/>
        <v>MK2201 Marketing for Technopreneur</v>
      </c>
      <c r="I219" s="9" t="s">
        <v>390</v>
      </c>
      <c r="J219" s="9" t="s">
        <v>89</v>
      </c>
      <c r="K219" s="9" t="s">
        <v>320</v>
      </c>
      <c r="L219" s="6">
        <v>3</v>
      </c>
      <c r="M219" s="6">
        <v>6</v>
      </c>
      <c r="N219" s="9" t="s">
        <v>321</v>
      </c>
      <c r="O219" s="9" t="s">
        <v>389</v>
      </c>
      <c r="P219" s="10">
        <v>46203</v>
      </c>
      <c r="Q219" s="10">
        <v>46203</v>
      </c>
      <c r="R219" s="10">
        <v>46210</v>
      </c>
      <c r="S219" s="10">
        <v>46210</v>
      </c>
      <c r="T219" s="10">
        <v>46217</v>
      </c>
      <c r="U219" s="10">
        <v>46217</v>
      </c>
      <c r="V219" s="10">
        <v>46224</v>
      </c>
      <c r="W219" s="10">
        <v>46224</v>
      </c>
      <c r="X219" s="10">
        <v>46231</v>
      </c>
      <c r="Y219" s="10">
        <v>46231</v>
      </c>
      <c r="Z219" s="10">
        <v>46238</v>
      </c>
      <c r="AA219" s="10">
        <v>46238</v>
      </c>
      <c r="AB219" s="10">
        <v>46245</v>
      </c>
      <c r="AC219" s="10">
        <v>46245</v>
      </c>
      <c r="AD219" s="10">
        <v>46252</v>
      </c>
      <c r="AE219" s="10">
        <v>46252</v>
      </c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</row>
    <row r="220" spans="1:45" ht="27.6" hidden="1">
      <c r="A220" s="6">
        <v>101</v>
      </c>
      <c r="B220" s="6" t="s">
        <v>315</v>
      </c>
      <c r="C220" s="6" t="s">
        <v>677</v>
      </c>
      <c r="D220" s="9" t="s">
        <v>385</v>
      </c>
      <c r="E220" s="29" t="s">
        <v>386</v>
      </c>
      <c r="F220" s="29" t="s">
        <v>332</v>
      </c>
      <c r="G220" s="6" t="s">
        <v>45</v>
      </c>
      <c r="H220" s="12" t="str">
        <f t="shared" si="2"/>
        <v>MK2201 Marketing for Technopreneur</v>
      </c>
      <c r="I220" s="29" t="s">
        <v>333</v>
      </c>
      <c r="J220" s="29" t="s">
        <v>84</v>
      </c>
      <c r="K220" s="9" t="s">
        <v>320</v>
      </c>
      <c r="L220" s="6">
        <v>3</v>
      </c>
      <c r="M220" s="6">
        <v>6</v>
      </c>
      <c r="N220" s="9" t="s">
        <v>321</v>
      </c>
      <c r="O220" s="9" t="s">
        <v>392</v>
      </c>
      <c r="P220" s="10">
        <v>46202</v>
      </c>
      <c r="Q220" s="10">
        <v>46202</v>
      </c>
      <c r="R220" s="10">
        <v>46209</v>
      </c>
      <c r="S220" s="10">
        <v>46209</v>
      </c>
      <c r="T220" s="10">
        <v>46216</v>
      </c>
      <c r="U220" s="10">
        <v>46216</v>
      </c>
      <c r="V220" s="10">
        <v>46223</v>
      </c>
      <c r="W220" s="10">
        <v>46223</v>
      </c>
      <c r="X220" s="10">
        <v>46230</v>
      </c>
      <c r="Y220" s="10">
        <v>46230</v>
      </c>
      <c r="Z220" s="10">
        <v>46237</v>
      </c>
      <c r="AA220" s="10">
        <v>46237</v>
      </c>
      <c r="AB220" s="10">
        <v>46244</v>
      </c>
      <c r="AC220" s="10">
        <v>46244</v>
      </c>
      <c r="AD220" s="10">
        <v>46253</v>
      </c>
      <c r="AE220" s="10">
        <v>46253</v>
      </c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</row>
    <row r="221" spans="1:45" ht="27.6" hidden="1">
      <c r="A221" s="22">
        <v>102</v>
      </c>
      <c r="B221" s="6" t="s">
        <v>315</v>
      </c>
      <c r="C221" s="6" t="s">
        <v>677</v>
      </c>
      <c r="D221" s="9" t="s">
        <v>393</v>
      </c>
      <c r="E221" s="9" t="s">
        <v>394</v>
      </c>
      <c r="F221" s="9" t="s">
        <v>337</v>
      </c>
      <c r="G221" s="6" t="s">
        <v>45</v>
      </c>
      <c r="H221" s="12" t="str">
        <f t="shared" si="2"/>
        <v>MK2251 International Marketing for Technopreneur</v>
      </c>
      <c r="I221" s="9" t="s">
        <v>390</v>
      </c>
      <c r="J221" s="9" t="s">
        <v>84</v>
      </c>
      <c r="K221" s="9" t="s">
        <v>320</v>
      </c>
      <c r="L221" s="6">
        <v>3</v>
      </c>
      <c r="M221" s="6">
        <v>6</v>
      </c>
      <c r="N221" s="9" t="s">
        <v>321</v>
      </c>
      <c r="O221" s="9" t="s">
        <v>395</v>
      </c>
      <c r="P221" s="10">
        <v>46202</v>
      </c>
      <c r="Q221" s="10">
        <v>46202</v>
      </c>
      <c r="R221" s="10">
        <v>46209</v>
      </c>
      <c r="S221" s="10">
        <v>46209</v>
      </c>
      <c r="T221" s="10">
        <v>46216</v>
      </c>
      <c r="U221" s="10">
        <v>46216</v>
      </c>
      <c r="V221" s="10">
        <v>46223</v>
      </c>
      <c r="W221" s="10">
        <v>46223</v>
      </c>
      <c r="X221" s="10">
        <v>46230</v>
      </c>
      <c r="Y221" s="10">
        <v>46230</v>
      </c>
      <c r="Z221" s="10">
        <v>46237</v>
      </c>
      <c r="AA221" s="10">
        <v>46237</v>
      </c>
      <c r="AB221" s="10">
        <v>46244</v>
      </c>
      <c r="AC221" s="10">
        <v>46244</v>
      </c>
      <c r="AD221" s="10">
        <v>46253</v>
      </c>
      <c r="AE221" s="10">
        <v>46253</v>
      </c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</row>
    <row r="222" spans="1:45" ht="27.6" hidden="1">
      <c r="A222" s="22">
        <v>102</v>
      </c>
      <c r="B222" s="6" t="s">
        <v>315</v>
      </c>
      <c r="C222" s="6" t="s">
        <v>677</v>
      </c>
      <c r="D222" s="9" t="s">
        <v>393</v>
      </c>
      <c r="E222" s="9" t="s">
        <v>394</v>
      </c>
      <c r="F222" s="9" t="s">
        <v>337</v>
      </c>
      <c r="G222" s="6" t="s">
        <v>45</v>
      </c>
      <c r="H222" s="12" t="str">
        <f t="shared" si="2"/>
        <v>MK2251 International Marketing for Technopreneur</v>
      </c>
      <c r="I222" s="9" t="s">
        <v>390</v>
      </c>
      <c r="J222" s="9" t="s">
        <v>84</v>
      </c>
      <c r="K222" s="9" t="s">
        <v>320</v>
      </c>
      <c r="L222" s="6">
        <v>3</v>
      </c>
      <c r="M222" s="6">
        <v>6</v>
      </c>
      <c r="N222" s="9" t="s">
        <v>321</v>
      </c>
      <c r="O222" s="9" t="s">
        <v>396</v>
      </c>
      <c r="P222" s="10">
        <v>46202</v>
      </c>
      <c r="Q222" s="10">
        <v>46202</v>
      </c>
      <c r="R222" s="10">
        <v>46209</v>
      </c>
      <c r="S222" s="10">
        <v>46209</v>
      </c>
      <c r="T222" s="10">
        <v>46216</v>
      </c>
      <c r="U222" s="10">
        <v>46216</v>
      </c>
      <c r="V222" s="10">
        <v>46223</v>
      </c>
      <c r="W222" s="10">
        <v>46223</v>
      </c>
      <c r="X222" s="10">
        <v>46230</v>
      </c>
      <c r="Y222" s="10">
        <v>46230</v>
      </c>
      <c r="Z222" s="10">
        <v>46237</v>
      </c>
      <c r="AA222" s="10">
        <v>46237</v>
      </c>
      <c r="AB222" s="10">
        <v>46244</v>
      </c>
      <c r="AC222" s="10">
        <v>46244</v>
      </c>
      <c r="AD222" s="10">
        <v>46253</v>
      </c>
      <c r="AE222" s="10">
        <v>46253</v>
      </c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</row>
    <row r="223" spans="1:45" ht="14.4">
      <c r="A223" s="30"/>
      <c r="B223" s="19"/>
      <c r="C223" s="19"/>
      <c r="D223" s="5"/>
      <c r="E223" s="5"/>
      <c r="F223" s="5"/>
      <c r="G223" s="19"/>
      <c r="H223" s="31"/>
      <c r="I223" s="5"/>
      <c r="J223" s="5"/>
      <c r="K223" s="5"/>
      <c r="L223" s="19"/>
      <c r="M223" s="19"/>
      <c r="N223" s="5"/>
      <c r="O223" s="5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</row>
    <row r="224" spans="1:45" ht="14.4">
      <c r="A224" s="30"/>
      <c r="B224" s="19"/>
      <c r="C224" s="19"/>
      <c r="D224" s="5"/>
      <c r="E224" s="5"/>
      <c r="F224" s="5"/>
      <c r="G224" s="19"/>
      <c r="H224" s="31"/>
      <c r="I224" s="5"/>
      <c r="J224" s="5"/>
      <c r="K224" s="5"/>
      <c r="L224" s="19"/>
      <c r="M224" s="19"/>
      <c r="N224" s="5"/>
      <c r="O224" s="5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</row>
    <row r="225" spans="1:45" ht="14.4">
      <c r="A225" s="19"/>
      <c r="B225" s="19"/>
      <c r="C225" s="19"/>
      <c r="D225" s="5"/>
      <c r="E225" s="5"/>
      <c r="F225" s="5"/>
      <c r="G225" s="19"/>
      <c r="H225" s="31"/>
      <c r="I225" s="5"/>
      <c r="J225" s="5"/>
      <c r="K225" s="5"/>
      <c r="L225" s="19"/>
      <c r="M225" s="19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</row>
    <row r="226" spans="1:45" ht="14.4">
      <c r="A226" s="19"/>
      <c r="B226" s="19"/>
      <c r="C226" s="19"/>
      <c r="D226" s="5"/>
      <c r="E226" s="5"/>
      <c r="F226" s="5"/>
      <c r="G226" s="19"/>
      <c r="H226" s="31"/>
      <c r="I226" s="5"/>
      <c r="J226" s="5"/>
      <c r="K226" s="5"/>
      <c r="L226" s="19"/>
      <c r="M226" s="19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</row>
    <row r="227" spans="1:45" ht="14.4">
      <c r="A227" s="19"/>
      <c r="B227" s="19"/>
      <c r="C227" s="19"/>
      <c r="D227" s="5"/>
      <c r="E227" s="5"/>
      <c r="F227" s="5"/>
      <c r="G227" s="19"/>
      <c r="H227" s="31"/>
      <c r="I227" s="5"/>
      <c r="J227" s="5"/>
      <c r="K227" s="5"/>
      <c r="L227" s="19"/>
      <c r="M227" s="19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</row>
    <row r="228" spans="1:45" ht="14.4">
      <c r="A228" s="19"/>
      <c r="B228" s="19"/>
      <c r="C228" s="19"/>
      <c r="D228" s="5"/>
      <c r="E228" s="5"/>
      <c r="F228" s="5"/>
      <c r="G228" s="19"/>
      <c r="H228" s="31"/>
      <c r="I228" s="5"/>
      <c r="J228" s="5"/>
      <c r="K228" s="5"/>
      <c r="L228" s="19"/>
      <c r="M228" s="19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</row>
    <row r="229" spans="1:45" ht="14.4">
      <c r="A229" s="19"/>
      <c r="B229" s="19"/>
      <c r="C229" s="19"/>
      <c r="D229" s="5"/>
      <c r="E229" s="5"/>
      <c r="F229" s="5"/>
      <c r="G229" s="19"/>
      <c r="H229" s="31"/>
      <c r="I229" s="5"/>
      <c r="J229" s="5"/>
      <c r="K229" s="5"/>
      <c r="L229" s="19"/>
      <c r="M229" s="19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</row>
    <row r="230" spans="1:45" ht="14.4">
      <c r="A230" s="19"/>
      <c r="B230" s="19"/>
      <c r="C230" s="19"/>
      <c r="D230" s="5"/>
      <c r="E230" s="5"/>
      <c r="F230" s="5"/>
      <c r="G230" s="19"/>
      <c r="H230" s="31"/>
      <c r="I230" s="5"/>
      <c r="J230" s="5"/>
      <c r="K230" s="5"/>
      <c r="L230" s="19"/>
      <c r="M230" s="19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</row>
    <row r="231" spans="1:45" ht="14.4">
      <c r="A231" s="19"/>
      <c r="B231" s="19"/>
      <c r="C231" s="19"/>
      <c r="D231" s="5"/>
      <c r="E231" s="5"/>
      <c r="F231" s="5"/>
      <c r="G231" s="19"/>
      <c r="H231" s="31"/>
      <c r="I231" s="5"/>
      <c r="J231" s="5"/>
      <c r="K231" s="5"/>
      <c r="L231" s="19"/>
      <c r="M231" s="19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</row>
    <row r="232" spans="1:45" ht="14.4">
      <c r="A232" s="19"/>
      <c r="B232" s="19"/>
      <c r="C232" s="19"/>
      <c r="D232" s="5"/>
      <c r="E232" s="5"/>
      <c r="F232" s="5"/>
      <c r="G232" s="19"/>
      <c r="H232" s="31"/>
      <c r="I232" s="5"/>
      <c r="J232" s="5"/>
      <c r="K232" s="5"/>
      <c r="L232" s="19"/>
      <c r="M232" s="19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</row>
    <row r="233" spans="1:45" ht="14.4">
      <c r="A233" s="19"/>
      <c r="B233" s="19"/>
      <c r="C233" s="19"/>
      <c r="D233" s="5"/>
      <c r="E233" s="5"/>
      <c r="F233" s="5"/>
      <c r="G233" s="19"/>
      <c r="H233" s="31"/>
      <c r="I233" s="5"/>
      <c r="J233" s="5"/>
      <c r="K233" s="5"/>
      <c r="L233" s="19"/>
      <c r="M233" s="19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</row>
    <row r="234" spans="1:45" ht="14.4">
      <c r="A234" s="19"/>
      <c r="B234" s="19"/>
      <c r="C234" s="19"/>
      <c r="D234" s="5"/>
      <c r="E234" s="5"/>
      <c r="F234" s="5"/>
      <c r="G234" s="19"/>
      <c r="H234" s="31"/>
      <c r="I234" s="5"/>
      <c r="J234" s="5"/>
      <c r="K234" s="5"/>
      <c r="L234" s="19"/>
      <c r="M234" s="19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</row>
    <row r="235" spans="1:45" ht="14.4">
      <c r="A235" s="19"/>
      <c r="B235" s="19"/>
      <c r="C235" s="19"/>
      <c r="D235" s="5"/>
      <c r="E235" s="5"/>
      <c r="F235" s="5"/>
      <c r="G235" s="19"/>
      <c r="H235" s="31"/>
      <c r="I235" s="5"/>
      <c r="J235" s="5"/>
      <c r="K235" s="5"/>
      <c r="L235" s="19"/>
      <c r="M235" s="19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</row>
    <row r="236" spans="1:45" ht="14.4">
      <c r="A236" s="19"/>
      <c r="B236" s="19"/>
      <c r="C236" s="19"/>
      <c r="D236" s="5"/>
      <c r="E236" s="5"/>
      <c r="F236" s="5"/>
      <c r="G236" s="19"/>
      <c r="H236" s="31"/>
      <c r="I236" s="5"/>
      <c r="J236" s="5"/>
      <c r="K236" s="5"/>
      <c r="L236" s="19"/>
      <c r="M236" s="19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</row>
    <row r="237" spans="1:45" ht="14.4">
      <c r="A237" s="19"/>
      <c r="B237" s="19"/>
      <c r="C237" s="19"/>
      <c r="D237" s="5"/>
      <c r="E237" s="5"/>
      <c r="F237" s="5"/>
      <c r="G237" s="19"/>
      <c r="H237" s="31"/>
      <c r="I237" s="5"/>
      <c r="J237" s="5"/>
      <c r="K237" s="5"/>
      <c r="L237" s="19"/>
      <c r="M237" s="19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</row>
    <row r="238" spans="1:45" ht="14.4">
      <c r="A238" s="19"/>
      <c r="B238" s="19"/>
      <c r="C238" s="19"/>
      <c r="D238" s="5"/>
      <c r="E238" s="5"/>
      <c r="F238" s="5"/>
      <c r="G238" s="19"/>
      <c r="H238" s="31"/>
      <c r="I238" s="5"/>
      <c r="J238" s="5"/>
      <c r="K238" s="5"/>
      <c r="L238" s="19"/>
      <c r="M238" s="19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</row>
    <row r="239" spans="1:45" ht="14.4">
      <c r="A239" s="19"/>
      <c r="B239" s="19"/>
      <c r="C239" s="19"/>
      <c r="D239" s="5"/>
      <c r="E239" s="5"/>
      <c r="F239" s="5"/>
      <c r="G239" s="19"/>
      <c r="H239" s="31"/>
      <c r="I239" s="5"/>
      <c r="J239" s="5"/>
      <c r="K239" s="5"/>
      <c r="L239" s="19"/>
      <c r="M239" s="19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</row>
    <row r="240" spans="1:45" ht="14.4">
      <c r="A240" s="19"/>
      <c r="B240" s="19"/>
      <c r="C240" s="19"/>
      <c r="D240" s="5"/>
      <c r="E240" s="5"/>
      <c r="F240" s="5"/>
      <c r="G240" s="19"/>
      <c r="H240" s="31"/>
      <c r="I240" s="5"/>
      <c r="J240" s="5"/>
      <c r="K240" s="5"/>
      <c r="L240" s="19"/>
      <c r="M240" s="19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</row>
    <row r="241" spans="1:45" ht="14.4">
      <c r="A241" s="19"/>
      <c r="B241" s="19"/>
      <c r="C241" s="19"/>
      <c r="D241" s="5"/>
      <c r="E241" s="5"/>
      <c r="F241" s="5"/>
      <c r="G241" s="19"/>
      <c r="H241" s="31"/>
      <c r="I241" s="5"/>
      <c r="J241" s="5"/>
      <c r="K241" s="5"/>
      <c r="L241" s="19"/>
      <c r="M241" s="19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</row>
    <row r="242" spans="1:45" ht="14.4">
      <c r="A242" s="19"/>
      <c r="B242" s="19"/>
      <c r="C242" s="19"/>
      <c r="D242" s="5"/>
      <c r="E242" s="5"/>
      <c r="F242" s="5"/>
      <c r="G242" s="19"/>
      <c r="H242" s="31"/>
      <c r="I242" s="5"/>
      <c r="J242" s="5"/>
      <c r="K242" s="5"/>
      <c r="L242" s="19"/>
      <c r="M242" s="19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</row>
    <row r="243" spans="1:45" ht="14.4">
      <c r="A243" s="19"/>
      <c r="B243" s="19"/>
      <c r="C243" s="19"/>
      <c r="D243" s="5"/>
      <c r="E243" s="5"/>
      <c r="F243" s="5"/>
      <c r="G243" s="19"/>
      <c r="H243" s="31"/>
      <c r="I243" s="5"/>
      <c r="J243" s="5"/>
      <c r="K243" s="5"/>
      <c r="L243" s="19"/>
      <c r="M243" s="19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</row>
    <row r="244" spans="1:45" ht="14.4">
      <c r="A244" s="19"/>
      <c r="B244" s="19"/>
      <c r="C244" s="19"/>
      <c r="D244" s="5"/>
      <c r="E244" s="5"/>
      <c r="F244" s="5"/>
      <c r="G244" s="19"/>
      <c r="H244" s="31"/>
      <c r="I244" s="5"/>
      <c r="J244" s="5"/>
      <c r="K244" s="5"/>
      <c r="L244" s="19"/>
      <c r="M244" s="19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</row>
    <row r="245" spans="1:45" ht="14.4">
      <c r="A245" s="19"/>
      <c r="B245" s="19"/>
      <c r="C245" s="19"/>
      <c r="D245" s="5"/>
      <c r="E245" s="5"/>
      <c r="F245" s="5"/>
      <c r="G245" s="19"/>
      <c r="H245" s="31"/>
      <c r="I245" s="5"/>
      <c r="J245" s="5"/>
      <c r="K245" s="5"/>
      <c r="L245" s="19"/>
      <c r="M245" s="19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</row>
    <row r="246" spans="1:45" ht="14.4">
      <c r="A246" s="19"/>
      <c r="B246" s="19"/>
      <c r="C246" s="19"/>
      <c r="D246" s="5"/>
      <c r="E246" s="5"/>
      <c r="F246" s="5"/>
      <c r="G246" s="19"/>
      <c r="H246" s="31"/>
      <c r="I246" s="5"/>
      <c r="J246" s="5"/>
      <c r="K246" s="5"/>
      <c r="L246" s="19"/>
      <c r="M246" s="19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</row>
    <row r="247" spans="1:45" ht="14.4">
      <c r="A247" s="19"/>
      <c r="B247" s="19"/>
      <c r="C247" s="19"/>
      <c r="D247" s="5"/>
      <c r="E247" s="5"/>
      <c r="F247" s="5"/>
      <c r="G247" s="19"/>
      <c r="H247" s="31"/>
      <c r="I247" s="5"/>
      <c r="J247" s="5"/>
      <c r="K247" s="5"/>
      <c r="L247" s="19"/>
      <c r="M247" s="19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</row>
    <row r="248" spans="1:45" ht="14.4">
      <c r="A248" s="19"/>
      <c r="B248" s="19"/>
      <c r="C248" s="19"/>
      <c r="D248" s="5"/>
      <c r="E248" s="5"/>
      <c r="F248" s="5"/>
      <c r="G248" s="19"/>
      <c r="H248" s="31"/>
      <c r="I248" s="5"/>
      <c r="J248" s="5"/>
      <c r="K248" s="5"/>
      <c r="L248" s="19"/>
      <c r="M248" s="19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</row>
    <row r="249" spans="1:45" ht="14.4">
      <c r="A249" s="19"/>
      <c r="B249" s="19"/>
      <c r="C249" s="19"/>
      <c r="D249" s="5"/>
      <c r="E249" s="5"/>
      <c r="F249" s="5"/>
      <c r="G249" s="19"/>
      <c r="H249" s="31"/>
      <c r="I249" s="5"/>
      <c r="J249" s="5"/>
      <c r="K249" s="5"/>
      <c r="L249" s="19"/>
      <c r="M249" s="19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</row>
    <row r="250" spans="1:45" ht="14.4">
      <c r="A250" s="19"/>
      <c r="B250" s="19"/>
      <c r="C250" s="19"/>
      <c r="D250" s="5"/>
      <c r="E250" s="5"/>
      <c r="F250" s="5"/>
      <c r="G250" s="19"/>
      <c r="H250" s="31"/>
      <c r="I250" s="5"/>
      <c r="J250" s="5"/>
      <c r="K250" s="5"/>
      <c r="L250" s="19"/>
      <c r="M250" s="19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</row>
    <row r="251" spans="1:45" ht="14.4">
      <c r="A251" s="19"/>
      <c r="B251" s="19"/>
      <c r="C251" s="19"/>
      <c r="D251" s="5"/>
      <c r="E251" s="5"/>
      <c r="F251" s="5"/>
      <c r="G251" s="19"/>
      <c r="H251" s="31"/>
      <c r="I251" s="5"/>
      <c r="J251" s="5"/>
      <c r="K251" s="5"/>
      <c r="L251" s="19"/>
      <c r="M251" s="19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</row>
    <row r="252" spans="1:45" ht="14.4">
      <c r="A252" s="19"/>
      <c r="B252" s="19"/>
      <c r="C252" s="19"/>
      <c r="D252" s="5"/>
      <c r="E252" s="5"/>
      <c r="F252" s="5"/>
      <c r="G252" s="19"/>
      <c r="H252" s="31"/>
      <c r="I252" s="5"/>
      <c r="J252" s="5"/>
      <c r="K252" s="5"/>
      <c r="L252" s="19"/>
      <c r="M252" s="19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</row>
    <row r="253" spans="1:45" ht="14.4">
      <c r="A253" s="19"/>
      <c r="B253" s="19"/>
      <c r="C253" s="19"/>
      <c r="D253" s="5"/>
      <c r="E253" s="5"/>
      <c r="F253" s="5"/>
      <c r="G253" s="19"/>
      <c r="H253" s="31"/>
      <c r="I253" s="5"/>
      <c r="J253" s="5"/>
      <c r="K253" s="5"/>
      <c r="L253" s="19"/>
      <c r="M253" s="19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</row>
    <row r="254" spans="1:45" ht="14.4">
      <c r="A254" s="19"/>
      <c r="B254" s="19"/>
      <c r="C254" s="19"/>
      <c r="D254" s="5"/>
      <c r="E254" s="5"/>
      <c r="F254" s="5"/>
      <c r="G254" s="19"/>
      <c r="H254" s="31"/>
      <c r="I254" s="5"/>
      <c r="J254" s="5"/>
      <c r="K254" s="5"/>
      <c r="L254" s="19"/>
      <c r="M254" s="19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</row>
    <row r="255" spans="1:45" ht="14.4">
      <c r="A255" s="19"/>
      <c r="B255" s="19"/>
      <c r="C255" s="19"/>
      <c r="D255" s="5"/>
      <c r="E255" s="5"/>
      <c r="F255" s="5"/>
      <c r="G255" s="19"/>
      <c r="H255" s="31"/>
      <c r="I255" s="5"/>
      <c r="J255" s="5"/>
      <c r="K255" s="5"/>
      <c r="L255" s="19"/>
      <c r="M255" s="19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</row>
    <row r="256" spans="1:45" ht="14.4">
      <c r="A256" s="19"/>
      <c r="B256" s="19"/>
      <c r="C256" s="19"/>
      <c r="D256" s="5"/>
      <c r="E256" s="5"/>
      <c r="F256" s="5"/>
      <c r="G256" s="19"/>
      <c r="H256" s="31"/>
      <c r="I256" s="5"/>
      <c r="J256" s="5"/>
      <c r="K256" s="5"/>
      <c r="L256" s="19"/>
      <c r="M256" s="19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</row>
    <row r="257" spans="1:45" ht="14.4">
      <c r="A257" s="19"/>
      <c r="B257" s="19"/>
      <c r="C257" s="19"/>
      <c r="D257" s="5"/>
      <c r="E257" s="5"/>
      <c r="F257" s="5"/>
      <c r="G257" s="19"/>
      <c r="H257" s="31"/>
      <c r="I257" s="5"/>
      <c r="J257" s="5"/>
      <c r="K257" s="5"/>
      <c r="L257" s="19"/>
      <c r="M257" s="19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</row>
    <row r="258" spans="1:45" ht="14.4">
      <c r="A258" s="19"/>
      <c r="B258" s="19"/>
      <c r="C258" s="19"/>
      <c r="D258" s="5"/>
      <c r="E258" s="5"/>
      <c r="F258" s="5"/>
      <c r="G258" s="19"/>
      <c r="H258" s="31"/>
      <c r="I258" s="5"/>
      <c r="J258" s="5"/>
      <c r="K258" s="5"/>
      <c r="L258" s="19"/>
      <c r="M258" s="19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</row>
    <row r="259" spans="1:45" ht="14.4">
      <c r="A259" s="19"/>
      <c r="B259" s="19"/>
      <c r="C259" s="19"/>
      <c r="D259" s="5"/>
      <c r="E259" s="5"/>
      <c r="F259" s="5"/>
      <c r="G259" s="19"/>
      <c r="H259" s="31"/>
      <c r="I259" s="5"/>
      <c r="J259" s="5"/>
      <c r="K259" s="5"/>
      <c r="L259" s="19"/>
      <c r="M259" s="19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</row>
    <row r="260" spans="1:45" ht="14.4">
      <c r="A260" s="19"/>
      <c r="B260" s="19"/>
      <c r="C260" s="19"/>
      <c r="D260" s="5"/>
      <c r="E260" s="5"/>
      <c r="F260" s="5"/>
      <c r="G260" s="19"/>
      <c r="H260" s="31"/>
      <c r="I260" s="5"/>
      <c r="J260" s="5"/>
      <c r="K260" s="5"/>
      <c r="L260" s="19"/>
      <c r="M260" s="19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</row>
    <row r="261" spans="1:45" ht="14.4">
      <c r="A261" s="19"/>
      <c r="B261" s="19"/>
      <c r="C261" s="19"/>
      <c r="D261" s="5"/>
      <c r="E261" s="5"/>
      <c r="F261" s="5"/>
      <c r="G261" s="19"/>
      <c r="H261" s="31"/>
      <c r="I261" s="5"/>
      <c r="J261" s="5"/>
      <c r="K261" s="5"/>
      <c r="L261" s="19"/>
      <c r="M261" s="19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</row>
    <row r="262" spans="1:45" ht="14.4">
      <c r="A262" s="19"/>
      <c r="B262" s="19"/>
      <c r="C262" s="19"/>
      <c r="D262" s="5"/>
      <c r="E262" s="5"/>
      <c r="F262" s="5"/>
      <c r="G262" s="19"/>
      <c r="H262" s="31"/>
      <c r="I262" s="5"/>
      <c r="J262" s="5"/>
      <c r="K262" s="5"/>
      <c r="L262" s="19"/>
      <c r="M262" s="19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</row>
    <row r="263" spans="1:45" ht="14.4">
      <c r="A263" s="19"/>
      <c r="B263" s="19"/>
      <c r="C263" s="19"/>
      <c r="D263" s="5"/>
      <c r="E263" s="5"/>
      <c r="F263" s="5"/>
      <c r="G263" s="19"/>
      <c r="H263" s="31"/>
      <c r="I263" s="5"/>
      <c r="J263" s="5"/>
      <c r="K263" s="5"/>
      <c r="L263" s="19"/>
      <c r="M263" s="19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</row>
    <row r="264" spans="1:45" ht="14.4">
      <c r="A264" s="19"/>
      <c r="B264" s="19"/>
      <c r="C264" s="19"/>
      <c r="D264" s="5"/>
      <c r="E264" s="5"/>
      <c r="F264" s="5"/>
      <c r="G264" s="19"/>
      <c r="H264" s="31"/>
      <c r="I264" s="5"/>
      <c r="J264" s="5"/>
      <c r="K264" s="5"/>
      <c r="L264" s="19"/>
      <c r="M264" s="19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</row>
    <row r="265" spans="1:45" ht="14.4">
      <c r="A265" s="19"/>
      <c r="B265" s="19"/>
      <c r="C265" s="19"/>
      <c r="D265" s="5"/>
      <c r="E265" s="5"/>
      <c r="F265" s="5"/>
      <c r="G265" s="19"/>
      <c r="H265" s="31"/>
      <c r="I265" s="5"/>
      <c r="J265" s="5"/>
      <c r="K265" s="5"/>
      <c r="L265" s="19"/>
      <c r="M265" s="19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</row>
    <row r="266" spans="1:45" ht="14.4">
      <c r="A266" s="19"/>
      <c r="B266" s="19"/>
      <c r="C266" s="19"/>
      <c r="D266" s="5"/>
      <c r="E266" s="5"/>
      <c r="F266" s="5"/>
      <c r="G266" s="19"/>
      <c r="H266" s="31"/>
      <c r="I266" s="5"/>
      <c r="J266" s="5"/>
      <c r="K266" s="5"/>
      <c r="L266" s="19"/>
      <c r="M266" s="19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</row>
    <row r="267" spans="1:45" ht="14.4">
      <c r="A267" s="19"/>
      <c r="B267" s="19"/>
      <c r="C267" s="19"/>
      <c r="D267" s="5"/>
      <c r="E267" s="5"/>
      <c r="F267" s="5"/>
      <c r="G267" s="19"/>
      <c r="H267" s="31"/>
      <c r="I267" s="5"/>
      <c r="J267" s="5"/>
      <c r="K267" s="5"/>
      <c r="L267" s="19"/>
      <c r="M267" s="19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</row>
    <row r="268" spans="1:45" ht="14.4">
      <c r="A268" s="19"/>
      <c r="B268" s="19"/>
      <c r="C268" s="19"/>
      <c r="D268" s="5"/>
      <c r="E268" s="5"/>
      <c r="F268" s="5"/>
      <c r="G268" s="19"/>
      <c r="H268" s="31"/>
      <c r="I268" s="5"/>
      <c r="J268" s="5"/>
      <c r="K268" s="5"/>
      <c r="L268" s="19"/>
      <c r="M268" s="19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</row>
    <row r="269" spans="1:45" ht="14.4">
      <c r="A269" s="19"/>
      <c r="B269" s="19"/>
      <c r="C269" s="19"/>
      <c r="D269" s="5"/>
      <c r="E269" s="5"/>
      <c r="F269" s="5"/>
      <c r="G269" s="19"/>
      <c r="H269" s="31"/>
      <c r="I269" s="5"/>
      <c r="J269" s="5"/>
      <c r="K269" s="5"/>
      <c r="L269" s="19"/>
      <c r="M269" s="19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</row>
    <row r="270" spans="1:45" ht="14.4">
      <c r="A270" s="19"/>
      <c r="B270" s="19"/>
      <c r="C270" s="19"/>
      <c r="D270" s="5"/>
      <c r="E270" s="5"/>
      <c r="F270" s="5"/>
      <c r="G270" s="19"/>
      <c r="H270" s="31"/>
      <c r="I270" s="5"/>
      <c r="J270" s="5"/>
      <c r="K270" s="5"/>
      <c r="L270" s="19"/>
      <c r="M270" s="19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</row>
    <row r="271" spans="1:45" ht="14.4">
      <c r="A271" s="19"/>
      <c r="B271" s="19"/>
      <c r="C271" s="19"/>
      <c r="D271" s="5"/>
      <c r="E271" s="5"/>
      <c r="F271" s="5"/>
      <c r="G271" s="19"/>
      <c r="H271" s="31"/>
      <c r="I271" s="5"/>
      <c r="J271" s="5"/>
      <c r="K271" s="5"/>
      <c r="L271" s="19"/>
      <c r="M271" s="19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</row>
    <row r="272" spans="1:45" ht="14.4">
      <c r="A272" s="19"/>
      <c r="B272" s="19"/>
      <c r="C272" s="19"/>
      <c r="D272" s="5"/>
      <c r="E272" s="5"/>
      <c r="F272" s="5"/>
      <c r="G272" s="19"/>
      <c r="H272" s="31"/>
      <c r="I272" s="5"/>
      <c r="J272" s="5"/>
      <c r="K272" s="5"/>
      <c r="L272" s="19"/>
      <c r="M272" s="19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</row>
    <row r="273" spans="1:45" ht="14.4">
      <c r="A273" s="19"/>
      <c r="B273" s="19"/>
      <c r="C273" s="19"/>
      <c r="D273" s="5"/>
      <c r="E273" s="5"/>
      <c r="F273" s="5"/>
      <c r="G273" s="19"/>
      <c r="H273" s="31"/>
      <c r="I273" s="5"/>
      <c r="J273" s="5"/>
      <c r="K273" s="5"/>
      <c r="L273" s="19"/>
      <c r="M273" s="19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</row>
    <row r="274" spans="1:45" ht="14.4">
      <c r="A274" s="19"/>
      <c r="B274" s="19"/>
      <c r="C274" s="19"/>
      <c r="D274" s="5"/>
      <c r="E274" s="5"/>
      <c r="F274" s="5"/>
      <c r="G274" s="19"/>
      <c r="H274" s="31"/>
      <c r="I274" s="5"/>
      <c r="J274" s="5"/>
      <c r="K274" s="5"/>
      <c r="L274" s="19"/>
      <c r="M274" s="19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</row>
    <row r="275" spans="1:45" ht="14.4">
      <c r="A275" s="19"/>
      <c r="B275" s="19"/>
      <c r="C275" s="19"/>
      <c r="D275" s="5"/>
      <c r="E275" s="5"/>
      <c r="F275" s="5"/>
      <c r="G275" s="19"/>
      <c r="H275" s="31"/>
      <c r="I275" s="5"/>
      <c r="J275" s="5"/>
      <c r="K275" s="5"/>
      <c r="L275" s="19"/>
      <c r="M275" s="19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</row>
    <row r="276" spans="1:45" ht="14.4">
      <c r="A276" s="19"/>
      <c r="B276" s="19"/>
      <c r="C276" s="19"/>
      <c r="D276" s="5"/>
      <c r="E276" s="5"/>
      <c r="F276" s="5"/>
      <c r="G276" s="19"/>
      <c r="H276" s="31"/>
      <c r="I276" s="5"/>
      <c r="J276" s="5"/>
      <c r="K276" s="5"/>
      <c r="L276" s="19"/>
      <c r="M276" s="19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</row>
    <row r="277" spans="1:45" ht="14.4">
      <c r="A277" s="19"/>
      <c r="B277" s="19"/>
      <c r="C277" s="19"/>
      <c r="D277" s="5"/>
      <c r="E277" s="5"/>
      <c r="F277" s="5"/>
      <c r="G277" s="19"/>
      <c r="H277" s="31"/>
      <c r="I277" s="5"/>
      <c r="J277" s="5"/>
      <c r="K277" s="5"/>
      <c r="L277" s="19"/>
      <c r="M277" s="19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</row>
    <row r="278" spans="1:45" ht="14.4">
      <c r="A278" s="19"/>
      <c r="B278" s="19"/>
      <c r="C278" s="19"/>
      <c r="D278" s="5"/>
      <c r="E278" s="5"/>
      <c r="F278" s="5"/>
      <c r="G278" s="19"/>
      <c r="H278" s="31"/>
      <c r="I278" s="5"/>
      <c r="J278" s="5"/>
      <c r="K278" s="5"/>
      <c r="L278" s="19"/>
      <c r="M278" s="19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</row>
    <row r="279" spans="1:45" ht="14.4">
      <c r="A279" s="19"/>
      <c r="B279" s="19"/>
      <c r="C279" s="19"/>
      <c r="D279" s="5"/>
      <c r="E279" s="5"/>
      <c r="F279" s="5"/>
      <c r="G279" s="19"/>
      <c r="H279" s="31"/>
      <c r="I279" s="5"/>
      <c r="J279" s="5"/>
      <c r="K279" s="5"/>
      <c r="L279" s="19"/>
      <c r="M279" s="19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</row>
    <row r="280" spans="1:45" ht="14.4">
      <c r="A280" s="19"/>
      <c r="B280" s="19"/>
      <c r="C280" s="19"/>
      <c r="D280" s="5"/>
      <c r="E280" s="5"/>
      <c r="F280" s="5"/>
      <c r="G280" s="19"/>
      <c r="H280" s="31"/>
      <c r="I280" s="5"/>
      <c r="J280" s="5"/>
      <c r="K280" s="5"/>
      <c r="L280" s="19"/>
      <c r="M280" s="19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</row>
    <row r="281" spans="1:45" ht="14.4">
      <c r="A281" s="19"/>
      <c r="B281" s="19"/>
      <c r="C281" s="19"/>
      <c r="D281" s="5"/>
      <c r="E281" s="5"/>
      <c r="F281" s="5"/>
      <c r="G281" s="19"/>
      <c r="H281" s="31"/>
      <c r="I281" s="5"/>
      <c r="J281" s="5"/>
      <c r="K281" s="5"/>
      <c r="L281" s="19"/>
      <c r="M281" s="19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</row>
    <row r="282" spans="1:45" ht="14.4">
      <c r="A282" s="19"/>
      <c r="B282" s="19"/>
      <c r="C282" s="19"/>
      <c r="D282" s="5"/>
      <c r="E282" s="5"/>
      <c r="F282" s="5"/>
      <c r="G282" s="19"/>
      <c r="H282" s="31"/>
      <c r="I282" s="5"/>
      <c r="J282" s="5"/>
      <c r="K282" s="5"/>
      <c r="L282" s="19"/>
      <c r="M282" s="19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</row>
    <row r="283" spans="1:45" ht="14.4">
      <c r="A283" s="19"/>
      <c r="B283" s="19"/>
      <c r="C283" s="19"/>
      <c r="D283" s="5"/>
      <c r="E283" s="5"/>
      <c r="F283" s="5"/>
      <c r="G283" s="19"/>
      <c r="H283" s="31"/>
      <c r="I283" s="5"/>
      <c r="J283" s="5"/>
      <c r="K283" s="5"/>
      <c r="L283" s="19"/>
      <c r="M283" s="19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</row>
    <row r="284" spans="1:45" ht="14.4">
      <c r="A284" s="19"/>
      <c r="B284" s="19"/>
      <c r="C284" s="19"/>
      <c r="D284" s="5"/>
      <c r="E284" s="5"/>
      <c r="F284" s="5"/>
      <c r="G284" s="19"/>
      <c r="H284" s="31"/>
      <c r="I284" s="5"/>
      <c r="J284" s="5"/>
      <c r="K284" s="5"/>
      <c r="L284" s="19"/>
      <c r="M284" s="19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</row>
    <row r="285" spans="1:45" ht="14.4">
      <c r="A285" s="19"/>
      <c r="B285" s="19"/>
      <c r="C285" s="19"/>
      <c r="D285" s="5"/>
      <c r="E285" s="5"/>
      <c r="F285" s="5"/>
      <c r="G285" s="19"/>
      <c r="H285" s="31"/>
      <c r="I285" s="5"/>
      <c r="J285" s="5"/>
      <c r="K285" s="5"/>
      <c r="L285" s="19"/>
      <c r="M285" s="19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</row>
    <row r="286" spans="1:45" ht="14.4">
      <c r="A286" s="19"/>
      <c r="B286" s="19"/>
      <c r="C286" s="19"/>
      <c r="D286" s="5"/>
      <c r="E286" s="5"/>
      <c r="F286" s="5"/>
      <c r="G286" s="19"/>
      <c r="H286" s="31"/>
      <c r="I286" s="5"/>
      <c r="J286" s="5"/>
      <c r="K286" s="5"/>
      <c r="L286" s="19"/>
      <c r="M286" s="19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</row>
    <row r="287" spans="1:45" ht="14.4">
      <c r="A287" s="19"/>
      <c r="B287" s="19"/>
      <c r="C287" s="19"/>
      <c r="D287" s="5"/>
      <c r="E287" s="5"/>
      <c r="F287" s="5"/>
      <c r="G287" s="19"/>
      <c r="H287" s="31"/>
      <c r="I287" s="5"/>
      <c r="J287" s="5"/>
      <c r="K287" s="5"/>
      <c r="L287" s="19"/>
      <c r="M287" s="19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</row>
    <row r="288" spans="1:45" ht="14.4">
      <c r="A288" s="19"/>
      <c r="B288" s="19"/>
      <c r="C288" s="19"/>
      <c r="D288" s="5"/>
      <c r="E288" s="5"/>
      <c r="F288" s="5"/>
      <c r="G288" s="19"/>
      <c r="H288" s="31"/>
      <c r="I288" s="5"/>
      <c r="J288" s="5"/>
      <c r="K288" s="5"/>
      <c r="L288" s="19"/>
      <c r="M288" s="19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</row>
    <row r="289" spans="1:45" ht="14.4">
      <c r="A289" s="19"/>
      <c r="B289" s="19"/>
      <c r="C289" s="19"/>
      <c r="D289" s="5"/>
      <c r="E289" s="5"/>
      <c r="F289" s="5"/>
      <c r="G289" s="19"/>
      <c r="H289" s="31"/>
      <c r="I289" s="5"/>
      <c r="J289" s="5"/>
      <c r="K289" s="5"/>
      <c r="L289" s="19"/>
      <c r="M289" s="19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</row>
    <row r="290" spans="1:45" ht="14.4">
      <c r="A290" s="19"/>
      <c r="B290" s="19"/>
      <c r="C290" s="19"/>
      <c r="D290" s="5"/>
      <c r="E290" s="5"/>
      <c r="F290" s="5"/>
      <c r="G290" s="19"/>
      <c r="H290" s="31"/>
      <c r="I290" s="5"/>
      <c r="J290" s="5"/>
      <c r="K290" s="5"/>
      <c r="L290" s="19"/>
      <c r="M290" s="19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</row>
    <row r="291" spans="1:45" ht="14.4">
      <c r="A291" s="19"/>
      <c r="B291" s="19"/>
      <c r="C291" s="19"/>
      <c r="D291" s="5"/>
      <c r="E291" s="5"/>
      <c r="F291" s="5"/>
      <c r="G291" s="19"/>
      <c r="H291" s="31"/>
      <c r="I291" s="5"/>
      <c r="J291" s="5"/>
      <c r="K291" s="5"/>
      <c r="L291" s="19"/>
      <c r="M291" s="19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</row>
    <row r="292" spans="1:45" ht="14.4">
      <c r="A292" s="19"/>
      <c r="B292" s="19"/>
      <c r="C292" s="19"/>
      <c r="D292" s="5"/>
      <c r="E292" s="5"/>
      <c r="F292" s="5"/>
      <c r="G292" s="19"/>
      <c r="H292" s="31"/>
      <c r="I292" s="5"/>
      <c r="J292" s="5"/>
      <c r="K292" s="5"/>
      <c r="L292" s="19"/>
      <c r="M292" s="19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</row>
    <row r="293" spans="1:45" ht="14.4">
      <c r="A293" s="19"/>
      <c r="B293" s="19"/>
      <c r="C293" s="19"/>
      <c r="D293" s="5"/>
      <c r="E293" s="5"/>
      <c r="F293" s="5"/>
      <c r="G293" s="19"/>
      <c r="H293" s="31"/>
      <c r="I293" s="5"/>
      <c r="J293" s="5"/>
      <c r="K293" s="5"/>
      <c r="L293" s="19"/>
      <c r="M293" s="19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</row>
    <row r="294" spans="1:45" ht="14.4">
      <c r="A294" s="19"/>
      <c r="B294" s="19"/>
      <c r="C294" s="19"/>
      <c r="D294" s="5"/>
      <c r="E294" s="5"/>
      <c r="F294" s="5"/>
      <c r="G294" s="19"/>
      <c r="H294" s="31"/>
      <c r="I294" s="5"/>
      <c r="J294" s="5"/>
      <c r="K294" s="5"/>
      <c r="L294" s="19"/>
      <c r="M294" s="19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</row>
    <row r="295" spans="1:45" ht="14.4">
      <c r="A295" s="19"/>
      <c r="B295" s="19"/>
      <c r="C295" s="19"/>
      <c r="D295" s="5"/>
      <c r="E295" s="5"/>
      <c r="F295" s="5"/>
      <c r="G295" s="19"/>
      <c r="H295" s="31"/>
      <c r="I295" s="5"/>
      <c r="J295" s="5"/>
      <c r="K295" s="5"/>
      <c r="L295" s="19"/>
      <c r="M295" s="19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</row>
    <row r="296" spans="1:45" ht="14.4">
      <c r="A296" s="19"/>
      <c r="B296" s="19"/>
      <c r="C296" s="19"/>
      <c r="D296" s="5"/>
      <c r="E296" s="5"/>
      <c r="F296" s="5"/>
      <c r="G296" s="19"/>
      <c r="H296" s="31"/>
      <c r="I296" s="5"/>
      <c r="J296" s="5"/>
      <c r="K296" s="5"/>
      <c r="L296" s="19"/>
      <c r="M296" s="19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</row>
    <row r="297" spans="1:45" ht="14.4">
      <c r="A297" s="19"/>
      <c r="B297" s="19"/>
      <c r="C297" s="19"/>
      <c r="D297" s="5"/>
      <c r="E297" s="5"/>
      <c r="F297" s="5"/>
      <c r="G297" s="19"/>
      <c r="H297" s="31"/>
      <c r="I297" s="5"/>
      <c r="J297" s="5"/>
      <c r="K297" s="5"/>
      <c r="L297" s="19"/>
      <c r="M297" s="19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</row>
    <row r="298" spans="1:45" ht="14.4">
      <c r="A298" s="19"/>
      <c r="B298" s="19"/>
      <c r="C298" s="19"/>
      <c r="D298" s="5"/>
      <c r="E298" s="5"/>
      <c r="F298" s="5"/>
      <c r="G298" s="19"/>
      <c r="H298" s="31"/>
      <c r="I298" s="5"/>
      <c r="J298" s="5"/>
      <c r="K298" s="5"/>
      <c r="L298" s="19"/>
      <c r="M298" s="19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</row>
    <row r="299" spans="1:45" ht="14.4">
      <c r="A299" s="19"/>
      <c r="B299" s="19"/>
      <c r="C299" s="19"/>
      <c r="D299" s="5"/>
      <c r="E299" s="5"/>
      <c r="F299" s="5"/>
      <c r="G299" s="19"/>
      <c r="H299" s="31"/>
      <c r="I299" s="5"/>
      <c r="J299" s="5"/>
      <c r="K299" s="5"/>
      <c r="L299" s="19"/>
      <c r="M299" s="19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</row>
    <row r="300" spans="1:45" ht="14.4">
      <c r="A300" s="19"/>
      <c r="B300" s="19"/>
      <c r="C300" s="19"/>
      <c r="D300" s="5"/>
      <c r="E300" s="5"/>
      <c r="F300" s="5"/>
      <c r="G300" s="19"/>
      <c r="H300" s="31"/>
      <c r="I300" s="5"/>
      <c r="J300" s="5"/>
      <c r="K300" s="5"/>
      <c r="L300" s="19"/>
      <c r="M300" s="19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</row>
    <row r="301" spans="1:45" ht="14.4">
      <c r="A301" s="19"/>
      <c r="B301" s="19"/>
      <c r="C301" s="19"/>
      <c r="D301" s="5"/>
      <c r="E301" s="5"/>
      <c r="F301" s="5"/>
      <c r="G301" s="19"/>
      <c r="H301" s="31"/>
      <c r="I301" s="5"/>
      <c r="J301" s="5"/>
      <c r="K301" s="5"/>
      <c r="L301" s="19"/>
      <c r="M301" s="19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</row>
    <row r="302" spans="1:45" ht="14.4">
      <c r="A302" s="19"/>
      <c r="B302" s="19"/>
      <c r="C302" s="19"/>
      <c r="D302" s="5"/>
      <c r="E302" s="5"/>
      <c r="F302" s="5"/>
      <c r="G302" s="19"/>
      <c r="H302" s="31"/>
      <c r="I302" s="5"/>
      <c r="J302" s="5"/>
      <c r="K302" s="5"/>
      <c r="L302" s="19"/>
      <c r="M302" s="19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</row>
    <row r="303" spans="1:45" ht="14.4">
      <c r="A303" s="19"/>
      <c r="B303" s="19"/>
      <c r="C303" s="19"/>
      <c r="D303" s="5"/>
      <c r="E303" s="5"/>
      <c r="F303" s="5"/>
      <c r="G303" s="19"/>
      <c r="H303" s="31"/>
      <c r="I303" s="5"/>
      <c r="J303" s="5"/>
      <c r="K303" s="5"/>
      <c r="L303" s="19"/>
      <c r="M303" s="19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</row>
    <row r="304" spans="1:45" ht="14.4">
      <c r="A304" s="19"/>
      <c r="B304" s="19"/>
      <c r="C304" s="19"/>
      <c r="D304" s="5"/>
      <c r="E304" s="5"/>
      <c r="F304" s="5"/>
      <c r="G304" s="19"/>
      <c r="H304" s="31"/>
      <c r="I304" s="5"/>
      <c r="J304" s="5"/>
      <c r="K304" s="5"/>
      <c r="L304" s="19"/>
      <c r="M304" s="19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</row>
    <row r="305" spans="1:45" ht="14.4">
      <c r="A305" s="19"/>
      <c r="B305" s="19"/>
      <c r="C305" s="19"/>
      <c r="D305" s="5"/>
      <c r="E305" s="5"/>
      <c r="F305" s="5"/>
      <c r="G305" s="19"/>
      <c r="H305" s="31"/>
      <c r="I305" s="5"/>
      <c r="J305" s="5"/>
      <c r="K305" s="5"/>
      <c r="L305" s="19"/>
      <c r="M305" s="19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</row>
    <row r="306" spans="1:45" ht="14.4">
      <c r="A306" s="19"/>
      <c r="B306" s="19"/>
      <c r="C306" s="19"/>
      <c r="D306" s="5"/>
      <c r="E306" s="5"/>
      <c r="F306" s="5"/>
      <c r="G306" s="19"/>
      <c r="H306" s="31"/>
      <c r="I306" s="5"/>
      <c r="J306" s="5"/>
      <c r="K306" s="5"/>
      <c r="L306" s="19"/>
      <c r="M306" s="19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</row>
    <row r="307" spans="1:45" ht="14.4">
      <c r="A307" s="19"/>
      <c r="B307" s="19"/>
      <c r="C307" s="19"/>
      <c r="D307" s="5"/>
      <c r="E307" s="5"/>
      <c r="F307" s="5"/>
      <c r="G307" s="19"/>
      <c r="H307" s="31"/>
      <c r="I307" s="5"/>
      <c r="J307" s="5"/>
      <c r="K307" s="5"/>
      <c r="L307" s="19"/>
      <c r="M307" s="19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</row>
    <row r="308" spans="1:45" ht="14.4">
      <c r="A308" s="19"/>
      <c r="B308" s="19"/>
      <c r="C308" s="19"/>
      <c r="D308" s="5"/>
      <c r="E308" s="5"/>
      <c r="F308" s="5"/>
      <c r="G308" s="19"/>
      <c r="H308" s="31"/>
      <c r="I308" s="5"/>
      <c r="J308" s="5"/>
      <c r="K308" s="5"/>
      <c r="L308" s="19"/>
      <c r="M308" s="19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</row>
    <row r="309" spans="1:45" ht="14.4">
      <c r="A309" s="19"/>
      <c r="B309" s="19"/>
      <c r="C309" s="19"/>
      <c r="D309" s="5"/>
      <c r="E309" s="5"/>
      <c r="F309" s="5"/>
      <c r="G309" s="19"/>
      <c r="H309" s="31"/>
      <c r="I309" s="5"/>
      <c r="J309" s="5"/>
      <c r="K309" s="5"/>
      <c r="L309" s="19"/>
      <c r="M309" s="19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</row>
    <row r="310" spans="1:45" ht="14.4">
      <c r="A310" s="19"/>
      <c r="B310" s="19"/>
      <c r="C310" s="19"/>
      <c r="D310" s="5"/>
      <c r="E310" s="5"/>
      <c r="F310" s="5"/>
      <c r="G310" s="19"/>
      <c r="H310" s="31"/>
      <c r="I310" s="5"/>
      <c r="J310" s="5"/>
      <c r="K310" s="5"/>
      <c r="L310" s="19"/>
      <c r="M310" s="19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</row>
    <row r="311" spans="1:45" ht="14.4">
      <c r="A311" s="19"/>
      <c r="B311" s="19"/>
      <c r="C311" s="19"/>
      <c r="D311" s="5"/>
      <c r="E311" s="5"/>
      <c r="F311" s="5"/>
      <c r="G311" s="19"/>
      <c r="H311" s="31"/>
      <c r="I311" s="5"/>
      <c r="J311" s="5"/>
      <c r="K311" s="5"/>
      <c r="L311" s="19"/>
      <c r="M311" s="19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</row>
    <row r="312" spans="1:45" ht="14.4">
      <c r="A312" s="33"/>
      <c r="B312" s="33"/>
      <c r="C312" s="33"/>
      <c r="D312" s="34"/>
      <c r="E312" s="34"/>
      <c r="F312" s="34"/>
      <c r="G312" s="33"/>
      <c r="H312" s="35"/>
      <c r="I312" s="34"/>
      <c r="J312" s="34"/>
      <c r="K312" s="34"/>
      <c r="L312" s="33"/>
      <c r="M312" s="33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</row>
    <row r="313" spans="1:45" ht="14.4">
      <c r="A313" s="33"/>
      <c r="B313" s="33"/>
      <c r="C313" s="33"/>
      <c r="D313" s="34"/>
      <c r="E313" s="34"/>
      <c r="F313" s="34"/>
      <c r="G313" s="33"/>
      <c r="H313" s="35"/>
      <c r="I313" s="34"/>
      <c r="J313" s="34"/>
      <c r="K313" s="34"/>
      <c r="L313" s="33"/>
      <c r="M313" s="33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</row>
    <row r="314" spans="1:45" ht="14.4">
      <c r="A314" s="33"/>
      <c r="B314" s="33"/>
      <c r="C314" s="33"/>
      <c r="D314" s="34"/>
      <c r="E314" s="34"/>
      <c r="F314" s="34"/>
      <c r="G314" s="33"/>
      <c r="H314" s="35"/>
      <c r="I314" s="34"/>
      <c r="J314" s="34"/>
      <c r="K314" s="34"/>
      <c r="L314" s="33"/>
      <c r="M314" s="33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</row>
    <row r="315" spans="1:45" ht="14.4">
      <c r="A315" s="33"/>
      <c r="B315" s="33"/>
      <c r="C315" s="33"/>
      <c r="D315" s="34"/>
      <c r="E315" s="34"/>
      <c r="F315" s="34"/>
      <c r="G315" s="33"/>
      <c r="H315" s="35"/>
      <c r="I315" s="34"/>
      <c r="J315" s="34"/>
      <c r="K315" s="34"/>
      <c r="L315" s="33"/>
      <c r="M315" s="33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</row>
    <row r="316" spans="1:45" ht="14.4">
      <c r="A316" s="33"/>
      <c r="B316" s="33"/>
      <c r="C316" s="33"/>
      <c r="D316" s="34"/>
      <c r="E316" s="34"/>
      <c r="F316" s="34"/>
      <c r="G316" s="33"/>
      <c r="H316" s="35"/>
      <c r="I316" s="34"/>
      <c r="J316" s="34"/>
      <c r="K316" s="34"/>
      <c r="L316" s="33"/>
      <c r="M316" s="33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</row>
    <row r="317" spans="1:45" ht="14.4">
      <c r="A317" s="33"/>
      <c r="B317" s="33"/>
      <c r="C317" s="33"/>
      <c r="D317" s="34"/>
      <c r="E317" s="34"/>
      <c r="F317" s="34"/>
      <c r="G317" s="33"/>
      <c r="H317" s="35"/>
      <c r="I317" s="34"/>
      <c r="J317" s="34"/>
      <c r="K317" s="34"/>
      <c r="L317" s="33"/>
      <c r="M317" s="33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</row>
    <row r="318" spans="1:45" ht="14.4">
      <c r="A318" s="33"/>
      <c r="B318" s="33"/>
      <c r="C318" s="33"/>
      <c r="D318" s="34"/>
      <c r="E318" s="34"/>
      <c r="F318" s="34"/>
      <c r="G318" s="33"/>
      <c r="H318" s="35"/>
      <c r="I318" s="34"/>
      <c r="J318" s="34"/>
      <c r="K318" s="34"/>
      <c r="L318" s="33"/>
      <c r="M318" s="33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</row>
    <row r="319" spans="1:45" ht="14.4">
      <c r="A319" s="33"/>
      <c r="B319" s="33"/>
      <c r="C319" s="33"/>
      <c r="D319" s="34"/>
      <c r="E319" s="34"/>
      <c r="F319" s="34"/>
      <c r="G319" s="33"/>
      <c r="H319" s="35"/>
      <c r="I319" s="34"/>
      <c r="J319" s="34"/>
      <c r="K319" s="34"/>
      <c r="L319" s="33"/>
      <c r="M319" s="33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</row>
    <row r="320" spans="1:45" ht="14.4">
      <c r="A320" s="33"/>
      <c r="B320" s="33"/>
      <c r="C320" s="33"/>
      <c r="D320" s="34"/>
      <c r="E320" s="34"/>
      <c r="F320" s="34"/>
      <c r="G320" s="33"/>
      <c r="H320" s="35"/>
      <c r="I320" s="34"/>
      <c r="J320" s="34"/>
      <c r="K320" s="34"/>
      <c r="L320" s="33"/>
      <c r="M320" s="33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</row>
    <row r="321" spans="1:45" ht="14.4">
      <c r="A321" s="33"/>
      <c r="B321" s="33"/>
      <c r="C321" s="33"/>
      <c r="D321" s="34"/>
      <c r="E321" s="34"/>
      <c r="F321" s="34"/>
      <c r="G321" s="33"/>
      <c r="H321" s="35"/>
      <c r="I321" s="34"/>
      <c r="J321" s="34"/>
      <c r="K321" s="34"/>
      <c r="L321" s="33"/>
      <c r="M321" s="33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</row>
    <row r="322" spans="1:45" ht="14.4">
      <c r="A322" s="33"/>
      <c r="B322" s="33"/>
      <c r="C322" s="33"/>
      <c r="D322" s="34"/>
      <c r="E322" s="34"/>
      <c r="F322" s="34"/>
      <c r="G322" s="33"/>
      <c r="H322" s="35"/>
      <c r="I322" s="34"/>
      <c r="J322" s="34"/>
      <c r="K322" s="34"/>
      <c r="L322" s="33"/>
      <c r="M322" s="33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</row>
    <row r="323" spans="1:45" ht="14.4">
      <c r="A323" s="33"/>
      <c r="B323" s="33"/>
      <c r="C323" s="33"/>
      <c r="D323" s="34"/>
      <c r="E323" s="34"/>
      <c r="F323" s="34"/>
      <c r="G323" s="33"/>
      <c r="H323" s="35"/>
      <c r="I323" s="34"/>
      <c r="J323" s="34"/>
      <c r="K323" s="34"/>
      <c r="L323" s="33"/>
      <c r="M323" s="33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</row>
    <row r="324" spans="1:45" ht="14.4">
      <c r="A324" s="33"/>
      <c r="B324" s="33"/>
      <c r="C324" s="33"/>
      <c r="D324" s="34"/>
      <c r="E324" s="34"/>
      <c r="F324" s="34"/>
      <c r="G324" s="33"/>
      <c r="H324" s="35"/>
      <c r="I324" s="34"/>
      <c r="J324" s="34"/>
      <c r="K324" s="34"/>
      <c r="L324" s="33"/>
      <c r="M324" s="33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</row>
    <row r="325" spans="1:45" ht="14.4">
      <c r="A325" s="33"/>
      <c r="B325" s="33"/>
      <c r="C325" s="33"/>
      <c r="D325" s="34"/>
      <c r="E325" s="34"/>
      <c r="F325" s="34"/>
      <c r="G325" s="33"/>
      <c r="H325" s="35"/>
      <c r="I325" s="34"/>
      <c r="J325" s="34"/>
      <c r="K325" s="34"/>
      <c r="L325" s="33"/>
      <c r="M325" s="33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</row>
    <row r="326" spans="1:45" ht="14.4">
      <c r="A326" s="33"/>
      <c r="B326" s="33"/>
      <c r="C326" s="33"/>
      <c r="D326" s="34"/>
      <c r="E326" s="34"/>
      <c r="F326" s="34"/>
      <c r="G326" s="33"/>
      <c r="H326" s="35"/>
      <c r="I326" s="34"/>
      <c r="J326" s="34"/>
      <c r="K326" s="34"/>
      <c r="L326" s="33"/>
      <c r="M326" s="33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</row>
    <row r="327" spans="1:45" ht="14.4">
      <c r="A327" s="33"/>
      <c r="B327" s="33"/>
      <c r="C327" s="33"/>
      <c r="D327" s="34"/>
      <c r="E327" s="34"/>
      <c r="F327" s="34"/>
      <c r="G327" s="33"/>
      <c r="H327" s="35"/>
      <c r="I327" s="34"/>
      <c r="J327" s="34"/>
      <c r="K327" s="34"/>
      <c r="L327" s="33"/>
      <c r="M327" s="33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</row>
    <row r="328" spans="1:45" ht="14.4">
      <c r="A328" s="33"/>
      <c r="B328" s="33"/>
      <c r="C328" s="33"/>
      <c r="D328" s="34"/>
      <c r="E328" s="34"/>
      <c r="F328" s="34"/>
      <c r="G328" s="33"/>
      <c r="H328" s="35"/>
      <c r="I328" s="34"/>
      <c r="J328" s="34"/>
      <c r="K328" s="34"/>
      <c r="L328" s="33"/>
      <c r="M328" s="33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</row>
    <row r="329" spans="1:45" ht="14.4">
      <c r="A329" s="33"/>
      <c r="B329" s="33"/>
      <c r="C329" s="33"/>
      <c r="D329" s="34"/>
      <c r="E329" s="34"/>
      <c r="F329" s="34"/>
      <c r="G329" s="33"/>
      <c r="H329" s="35"/>
      <c r="I329" s="34"/>
      <c r="J329" s="34"/>
      <c r="K329" s="34"/>
      <c r="L329" s="33"/>
      <c r="M329" s="33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</row>
    <row r="330" spans="1:45" ht="14.4">
      <c r="A330" s="33"/>
      <c r="B330" s="33"/>
      <c r="C330" s="33"/>
      <c r="D330" s="34"/>
      <c r="E330" s="34"/>
      <c r="F330" s="34"/>
      <c r="G330" s="33"/>
      <c r="H330" s="35"/>
      <c r="I330" s="34"/>
      <c r="J330" s="34"/>
      <c r="K330" s="34"/>
      <c r="L330" s="33"/>
      <c r="M330" s="33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</row>
    <row r="331" spans="1:45" ht="14.4">
      <c r="A331" s="33"/>
      <c r="B331" s="33"/>
      <c r="C331" s="33"/>
      <c r="D331" s="34"/>
      <c r="E331" s="34"/>
      <c r="F331" s="34"/>
      <c r="G331" s="33"/>
      <c r="H331" s="35"/>
      <c r="I331" s="34"/>
      <c r="J331" s="34"/>
      <c r="K331" s="34"/>
      <c r="L331" s="33"/>
      <c r="M331" s="33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</row>
    <row r="332" spans="1:45" ht="14.4">
      <c r="A332" s="33"/>
      <c r="B332" s="33"/>
      <c r="C332" s="33"/>
      <c r="D332" s="34"/>
      <c r="E332" s="34"/>
      <c r="F332" s="34"/>
      <c r="G332" s="33"/>
      <c r="H332" s="35"/>
      <c r="I332" s="34"/>
      <c r="J332" s="34"/>
      <c r="K332" s="34"/>
      <c r="L332" s="33"/>
      <c r="M332" s="33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</row>
    <row r="333" spans="1:45" ht="14.4">
      <c r="A333" s="33"/>
      <c r="B333" s="33"/>
      <c r="C333" s="33"/>
      <c r="D333" s="34"/>
      <c r="E333" s="34"/>
      <c r="F333" s="34"/>
      <c r="G333" s="33"/>
      <c r="H333" s="35"/>
      <c r="I333" s="34"/>
      <c r="J333" s="34"/>
      <c r="K333" s="34"/>
      <c r="L333" s="33"/>
      <c r="M333" s="33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</row>
    <row r="334" spans="1:45" ht="14.4">
      <c r="A334" s="33"/>
      <c r="B334" s="33"/>
      <c r="C334" s="33"/>
      <c r="D334" s="34"/>
      <c r="E334" s="34"/>
      <c r="F334" s="34"/>
      <c r="G334" s="33"/>
      <c r="H334" s="35"/>
      <c r="I334" s="34"/>
      <c r="J334" s="34"/>
      <c r="K334" s="34"/>
      <c r="L334" s="33"/>
      <c r="M334" s="33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</row>
    <row r="335" spans="1:45" ht="14.4">
      <c r="A335" s="33"/>
      <c r="B335" s="33"/>
      <c r="C335" s="33"/>
      <c r="D335" s="34"/>
      <c r="E335" s="34"/>
      <c r="F335" s="34"/>
      <c r="G335" s="33"/>
      <c r="H335" s="35"/>
      <c r="I335" s="34"/>
      <c r="J335" s="34"/>
      <c r="K335" s="34"/>
      <c r="L335" s="33"/>
      <c r="M335" s="33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</row>
    <row r="336" spans="1:45" ht="14.4">
      <c r="A336" s="33"/>
      <c r="B336" s="33"/>
      <c r="C336" s="33"/>
      <c r="D336" s="34"/>
      <c r="E336" s="34"/>
      <c r="F336" s="34"/>
      <c r="G336" s="33"/>
      <c r="H336" s="35"/>
      <c r="I336" s="34"/>
      <c r="J336" s="34"/>
      <c r="K336" s="34"/>
      <c r="L336" s="33"/>
      <c r="M336" s="33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</row>
    <row r="337" spans="1:45" ht="14.4">
      <c r="A337" s="33"/>
      <c r="B337" s="33"/>
      <c r="C337" s="33"/>
      <c r="D337" s="34"/>
      <c r="E337" s="34"/>
      <c r="F337" s="34"/>
      <c r="G337" s="33"/>
      <c r="H337" s="35"/>
      <c r="I337" s="34"/>
      <c r="J337" s="34"/>
      <c r="K337" s="34"/>
      <c r="L337" s="33"/>
      <c r="M337" s="33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</row>
    <row r="338" spans="1:45" ht="14.4">
      <c r="A338" s="33"/>
      <c r="B338" s="33"/>
      <c r="C338" s="33"/>
      <c r="D338" s="34"/>
      <c r="E338" s="34"/>
      <c r="F338" s="34"/>
      <c r="G338" s="33"/>
      <c r="H338" s="35"/>
      <c r="I338" s="34"/>
      <c r="J338" s="34"/>
      <c r="K338" s="34"/>
      <c r="L338" s="33"/>
      <c r="M338" s="33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</row>
    <row r="339" spans="1:45" ht="14.4">
      <c r="A339" s="33"/>
      <c r="B339" s="33"/>
      <c r="C339" s="33"/>
      <c r="D339" s="34"/>
      <c r="E339" s="34"/>
      <c r="F339" s="34"/>
      <c r="G339" s="33"/>
      <c r="H339" s="35"/>
      <c r="I339" s="34"/>
      <c r="J339" s="34"/>
      <c r="K339" s="34"/>
      <c r="L339" s="33"/>
      <c r="M339" s="33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</row>
    <row r="340" spans="1:45" ht="14.4">
      <c r="A340" s="33"/>
      <c r="B340" s="33"/>
      <c r="C340" s="33"/>
      <c r="D340" s="34"/>
      <c r="E340" s="34"/>
      <c r="F340" s="34"/>
      <c r="G340" s="33"/>
      <c r="H340" s="35"/>
      <c r="I340" s="34"/>
      <c r="J340" s="34"/>
      <c r="K340" s="34"/>
      <c r="L340" s="33"/>
      <c r="M340" s="33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</row>
    <row r="341" spans="1:45" ht="14.4">
      <c r="A341" s="33"/>
      <c r="B341" s="33"/>
      <c r="C341" s="33"/>
      <c r="D341" s="34"/>
      <c r="E341" s="34"/>
      <c r="F341" s="34"/>
      <c r="G341" s="33"/>
      <c r="H341" s="35"/>
      <c r="I341" s="34"/>
      <c r="J341" s="34"/>
      <c r="K341" s="34"/>
      <c r="L341" s="33"/>
      <c r="M341" s="33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</row>
    <row r="342" spans="1:45" ht="14.4">
      <c r="A342" s="33"/>
      <c r="B342" s="33"/>
      <c r="C342" s="33"/>
      <c r="D342" s="34"/>
      <c r="E342" s="34"/>
      <c r="F342" s="34"/>
      <c r="G342" s="33"/>
      <c r="H342" s="35"/>
      <c r="I342" s="34"/>
      <c r="J342" s="34"/>
      <c r="K342" s="34"/>
      <c r="L342" s="33"/>
      <c r="M342" s="33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</row>
    <row r="343" spans="1:45" ht="14.4">
      <c r="A343" s="33"/>
      <c r="B343" s="33"/>
      <c r="C343" s="33"/>
      <c r="D343" s="34"/>
      <c r="E343" s="34"/>
      <c r="F343" s="34"/>
      <c r="G343" s="33"/>
      <c r="H343" s="35"/>
      <c r="I343" s="34"/>
      <c r="J343" s="34"/>
      <c r="K343" s="34"/>
      <c r="L343" s="33"/>
      <c r="M343" s="33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</row>
    <row r="344" spans="1:45" ht="14.4">
      <c r="A344" s="33"/>
      <c r="B344" s="33"/>
      <c r="C344" s="33"/>
      <c r="D344" s="34"/>
      <c r="E344" s="34"/>
      <c r="F344" s="34"/>
      <c r="G344" s="33"/>
      <c r="H344" s="35"/>
      <c r="I344" s="34"/>
      <c r="J344" s="34"/>
      <c r="K344" s="34"/>
      <c r="L344" s="33"/>
      <c r="M344" s="33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</row>
    <row r="345" spans="1:45" ht="14.4">
      <c r="A345" s="33"/>
      <c r="B345" s="33"/>
      <c r="C345" s="33"/>
      <c r="D345" s="34"/>
      <c r="E345" s="34"/>
      <c r="F345" s="34"/>
      <c r="G345" s="33"/>
      <c r="H345" s="35"/>
      <c r="I345" s="34"/>
      <c r="J345" s="34"/>
      <c r="K345" s="34"/>
      <c r="L345" s="33"/>
      <c r="M345" s="33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</row>
    <row r="346" spans="1:45" ht="14.4">
      <c r="A346" s="33"/>
      <c r="B346" s="33"/>
      <c r="C346" s="33"/>
      <c r="D346" s="34"/>
      <c r="E346" s="34"/>
      <c r="F346" s="34"/>
      <c r="G346" s="33"/>
      <c r="H346" s="35"/>
      <c r="I346" s="34"/>
      <c r="J346" s="34"/>
      <c r="K346" s="34"/>
      <c r="L346" s="33"/>
      <c r="M346" s="33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</row>
    <row r="347" spans="1:45" ht="14.4">
      <c r="A347" s="33"/>
      <c r="B347" s="33"/>
      <c r="C347" s="33"/>
      <c r="D347" s="34"/>
      <c r="E347" s="34"/>
      <c r="F347" s="34"/>
      <c r="G347" s="33"/>
      <c r="H347" s="35"/>
      <c r="I347" s="34"/>
      <c r="J347" s="34"/>
      <c r="K347" s="34"/>
      <c r="L347" s="33"/>
      <c r="M347" s="33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</row>
    <row r="348" spans="1:45" ht="14.4">
      <c r="A348" s="33"/>
      <c r="B348" s="33"/>
      <c r="C348" s="33"/>
      <c r="D348" s="34"/>
      <c r="E348" s="34"/>
      <c r="F348" s="34"/>
      <c r="G348" s="33"/>
      <c r="H348" s="35"/>
      <c r="I348" s="34"/>
      <c r="J348" s="34"/>
      <c r="K348" s="34"/>
      <c r="L348" s="33"/>
      <c r="M348" s="33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</row>
    <row r="349" spans="1:45" ht="14.4">
      <c r="A349" s="33"/>
      <c r="B349" s="33"/>
      <c r="C349" s="33"/>
      <c r="D349" s="34"/>
      <c r="E349" s="34"/>
      <c r="F349" s="34"/>
      <c r="G349" s="33"/>
      <c r="H349" s="35"/>
      <c r="I349" s="34"/>
      <c r="J349" s="34"/>
      <c r="K349" s="34"/>
      <c r="L349" s="33"/>
      <c r="M349" s="33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</row>
    <row r="350" spans="1:45" ht="14.4">
      <c r="A350" s="33"/>
      <c r="B350" s="33"/>
      <c r="C350" s="33"/>
      <c r="D350" s="34"/>
      <c r="E350" s="34"/>
      <c r="F350" s="34"/>
      <c r="G350" s="33"/>
      <c r="H350" s="35"/>
      <c r="I350" s="34"/>
      <c r="J350" s="34"/>
      <c r="K350" s="34"/>
      <c r="L350" s="33"/>
      <c r="M350" s="33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</row>
    <row r="351" spans="1:45" ht="14.4">
      <c r="A351" s="33"/>
      <c r="B351" s="33"/>
      <c r="C351" s="33"/>
      <c r="D351" s="34"/>
      <c r="E351" s="34"/>
      <c r="F351" s="34"/>
      <c r="G351" s="33"/>
      <c r="H351" s="35"/>
      <c r="I351" s="34"/>
      <c r="J351" s="34"/>
      <c r="K351" s="34"/>
      <c r="L351" s="33"/>
      <c r="M351" s="33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</row>
    <row r="352" spans="1:45" ht="14.4">
      <c r="A352" s="33"/>
      <c r="B352" s="33"/>
      <c r="C352" s="33"/>
      <c r="D352" s="34"/>
      <c r="E352" s="34"/>
      <c r="F352" s="34"/>
      <c r="G352" s="33"/>
      <c r="H352" s="35"/>
      <c r="I352" s="34"/>
      <c r="J352" s="34"/>
      <c r="K352" s="34"/>
      <c r="L352" s="33"/>
      <c r="M352" s="33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</row>
    <row r="353" spans="1:45" ht="14.4">
      <c r="A353" s="33"/>
      <c r="B353" s="33"/>
      <c r="C353" s="33"/>
      <c r="D353" s="34"/>
      <c r="E353" s="34"/>
      <c r="F353" s="34"/>
      <c r="G353" s="33"/>
      <c r="H353" s="35"/>
      <c r="I353" s="34"/>
      <c r="J353" s="34"/>
      <c r="K353" s="34"/>
      <c r="L353" s="33"/>
      <c r="M353" s="33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</row>
    <row r="354" spans="1:45" ht="14.4">
      <c r="A354" s="33"/>
      <c r="B354" s="33"/>
      <c r="C354" s="33"/>
      <c r="D354" s="34"/>
      <c r="E354" s="34"/>
      <c r="F354" s="34"/>
      <c r="G354" s="33"/>
      <c r="H354" s="35"/>
      <c r="I354" s="34"/>
      <c r="J354" s="34"/>
      <c r="K354" s="34"/>
      <c r="L354" s="33"/>
      <c r="M354" s="33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</row>
    <row r="355" spans="1:45" ht="14.4">
      <c r="A355" s="33"/>
      <c r="B355" s="33"/>
      <c r="C355" s="33"/>
      <c r="D355" s="34"/>
      <c r="E355" s="34"/>
      <c r="F355" s="34"/>
      <c r="G355" s="33"/>
      <c r="H355" s="35"/>
      <c r="I355" s="34"/>
      <c r="J355" s="34"/>
      <c r="K355" s="34"/>
      <c r="L355" s="33"/>
      <c r="M355" s="33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  <c r="AQ355" s="34"/>
      <c r="AR355" s="34"/>
      <c r="AS355" s="34"/>
    </row>
    <row r="356" spans="1:45" ht="14.4">
      <c r="A356" s="33"/>
      <c r="B356" s="33"/>
      <c r="C356" s="33"/>
      <c r="D356" s="34"/>
      <c r="E356" s="34"/>
      <c r="F356" s="34"/>
      <c r="G356" s="33"/>
      <c r="H356" s="35"/>
      <c r="I356" s="34"/>
      <c r="J356" s="34"/>
      <c r="K356" s="34"/>
      <c r="L356" s="33"/>
      <c r="M356" s="33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</row>
    <row r="357" spans="1:45" ht="14.4">
      <c r="A357" s="33"/>
      <c r="B357" s="33"/>
      <c r="C357" s="33"/>
      <c r="D357" s="34"/>
      <c r="E357" s="34"/>
      <c r="F357" s="34"/>
      <c r="G357" s="33"/>
      <c r="H357" s="35"/>
      <c r="I357" s="34"/>
      <c r="J357" s="34"/>
      <c r="K357" s="34"/>
      <c r="L357" s="33"/>
      <c r="M357" s="33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</row>
    <row r="358" spans="1:45" ht="14.4">
      <c r="A358" s="33"/>
      <c r="B358" s="33"/>
      <c r="C358" s="33"/>
      <c r="D358" s="34"/>
      <c r="E358" s="34"/>
      <c r="F358" s="34"/>
      <c r="G358" s="33"/>
      <c r="H358" s="35"/>
      <c r="I358" s="34"/>
      <c r="J358" s="34"/>
      <c r="K358" s="34"/>
      <c r="L358" s="33"/>
      <c r="M358" s="33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</row>
    <row r="359" spans="1:45" ht="14.4">
      <c r="A359" s="33"/>
      <c r="B359" s="33"/>
      <c r="C359" s="33"/>
      <c r="D359" s="34"/>
      <c r="E359" s="34"/>
      <c r="F359" s="34"/>
      <c r="G359" s="33"/>
      <c r="H359" s="35"/>
      <c r="I359" s="34"/>
      <c r="J359" s="34"/>
      <c r="K359" s="34"/>
      <c r="L359" s="33"/>
      <c r="M359" s="33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</row>
    <row r="360" spans="1:45" ht="14.4">
      <c r="A360" s="33"/>
      <c r="B360" s="33"/>
      <c r="C360" s="33"/>
      <c r="D360" s="34"/>
      <c r="E360" s="34"/>
      <c r="F360" s="34"/>
      <c r="G360" s="33"/>
      <c r="H360" s="35"/>
      <c r="I360" s="34"/>
      <c r="J360" s="34"/>
      <c r="K360" s="34"/>
      <c r="L360" s="33"/>
      <c r="M360" s="33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</row>
    <row r="361" spans="1:45" ht="14.4">
      <c r="A361" s="33"/>
      <c r="B361" s="33"/>
      <c r="C361" s="33"/>
      <c r="D361" s="34"/>
      <c r="E361" s="34"/>
      <c r="F361" s="34"/>
      <c r="G361" s="33"/>
      <c r="H361" s="35"/>
      <c r="I361" s="34"/>
      <c r="J361" s="34"/>
      <c r="K361" s="34"/>
      <c r="L361" s="33"/>
      <c r="M361" s="33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  <c r="AQ361" s="34"/>
      <c r="AR361" s="34"/>
      <c r="AS361" s="34"/>
    </row>
    <row r="362" spans="1:45" ht="14.4">
      <c r="A362" s="33"/>
      <c r="B362" s="33"/>
      <c r="C362" s="33"/>
      <c r="D362" s="34"/>
      <c r="E362" s="34"/>
      <c r="F362" s="34"/>
      <c r="G362" s="33"/>
      <c r="H362" s="35"/>
      <c r="I362" s="34"/>
      <c r="J362" s="34"/>
      <c r="K362" s="34"/>
      <c r="L362" s="33"/>
      <c r="M362" s="33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</row>
    <row r="363" spans="1:45" ht="14.4">
      <c r="A363" s="33"/>
      <c r="B363" s="33"/>
      <c r="C363" s="33"/>
      <c r="D363" s="34"/>
      <c r="E363" s="34"/>
      <c r="F363" s="34"/>
      <c r="G363" s="33"/>
      <c r="H363" s="35"/>
      <c r="I363" s="34"/>
      <c r="J363" s="34"/>
      <c r="K363" s="34"/>
      <c r="L363" s="33"/>
      <c r="M363" s="33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</row>
    <row r="364" spans="1:45" ht="14.4">
      <c r="A364" s="33"/>
      <c r="B364" s="33"/>
      <c r="C364" s="33"/>
      <c r="D364" s="34"/>
      <c r="E364" s="34"/>
      <c r="F364" s="34"/>
      <c r="G364" s="33"/>
      <c r="H364" s="35"/>
      <c r="I364" s="34"/>
      <c r="J364" s="34"/>
      <c r="K364" s="34"/>
      <c r="L364" s="33"/>
      <c r="M364" s="33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</row>
    <row r="365" spans="1:45" ht="14.4">
      <c r="A365" s="33"/>
      <c r="B365" s="33"/>
      <c r="C365" s="33"/>
      <c r="D365" s="34"/>
      <c r="E365" s="34"/>
      <c r="F365" s="34"/>
      <c r="G365" s="33"/>
      <c r="H365" s="35"/>
      <c r="I365" s="34"/>
      <c r="J365" s="34"/>
      <c r="K365" s="34"/>
      <c r="L365" s="33"/>
      <c r="M365" s="33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  <c r="AQ365" s="34"/>
      <c r="AR365" s="34"/>
      <c r="AS365" s="34"/>
    </row>
    <row r="366" spans="1:45" ht="14.4">
      <c r="A366" s="33"/>
      <c r="B366" s="33"/>
      <c r="C366" s="33"/>
      <c r="D366" s="34"/>
      <c r="E366" s="34"/>
      <c r="F366" s="34"/>
      <c r="G366" s="33"/>
      <c r="H366" s="35"/>
      <c r="I366" s="34"/>
      <c r="J366" s="34"/>
      <c r="K366" s="34"/>
      <c r="L366" s="33"/>
      <c r="M366" s="33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</row>
    <row r="367" spans="1:45" ht="14.4">
      <c r="A367" s="33"/>
      <c r="B367" s="33"/>
      <c r="C367" s="33"/>
      <c r="D367" s="34"/>
      <c r="E367" s="34"/>
      <c r="F367" s="34"/>
      <c r="G367" s="33"/>
      <c r="H367" s="35"/>
      <c r="I367" s="34"/>
      <c r="J367" s="34"/>
      <c r="K367" s="34"/>
      <c r="L367" s="33"/>
      <c r="M367" s="33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  <c r="AQ367" s="34"/>
      <c r="AR367" s="34"/>
      <c r="AS367" s="34"/>
    </row>
    <row r="368" spans="1:45" ht="14.4">
      <c r="A368" s="33"/>
      <c r="B368" s="33"/>
      <c r="C368" s="33"/>
      <c r="D368" s="34"/>
      <c r="E368" s="34"/>
      <c r="F368" s="34"/>
      <c r="G368" s="33"/>
      <c r="H368" s="35"/>
      <c r="I368" s="34"/>
      <c r="J368" s="34"/>
      <c r="K368" s="34"/>
      <c r="L368" s="33"/>
      <c r="M368" s="33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</row>
    <row r="369" spans="1:45" ht="14.4">
      <c r="A369" s="33"/>
      <c r="B369" s="33"/>
      <c r="C369" s="33"/>
      <c r="D369" s="34"/>
      <c r="E369" s="34"/>
      <c r="F369" s="34"/>
      <c r="G369" s="33"/>
      <c r="H369" s="35"/>
      <c r="I369" s="34"/>
      <c r="J369" s="34"/>
      <c r="K369" s="34"/>
      <c r="L369" s="33"/>
      <c r="M369" s="33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</row>
    <row r="370" spans="1:45" ht="14.4">
      <c r="A370" s="33"/>
      <c r="B370" s="33"/>
      <c r="C370" s="33"/>
      <c r="D370" s="34"/>
      <c r="E370" s="34"/>
      <c r="F370" s="34"/>
      <c r="G370" s="33"/>
      <c r="H370" s="35"/>
      <c r="I370" s="34"/>
      <c r="J370" s="34"/>
      <c r="K370" s="34"/>
      <c r="L370" s="33"/>
      <c r="M370" s="33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  <c r="AO370" s="34"/>
      <c r="AP370" s="34"/>
      <c r="AQ370" s="34"/>
      <c r="AR370" s="34"/>
      <c r="AS370" s="34"/>
    </row>
    <row r="371" spans="1:45" ht="14.4">
      <c r="A371" s="33"/>
      <c r="B371" s="33"/>
      <c r="C371" s="33"/>
      <c r="D371" s="34"/>
      <c r="E371" s="34"/>
      <c r="F371" s="34"/>
      <c r="G371" s="33"/>
      <c r="H371" s="35"/>
      <c r="I371" s="34"/>
      <c r="J371" s="34"/>
      <c r="K371" s="34"/>
      <c r="L371" s="33"/>
      <c r="M371" s="33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  <c r="AQ371" s="34"/>
      <c r="AR371" s="34"/>
      <c r="AS371" s="34"/>
    </row>
    <row r="372" spans="1:45" ht="14.4">
      <c r="A372" s="33"/>
      <c r="B372" s="33"/>
      <c r="C372" s="33"/>
      <c r="D372" s="34"/>
      <c r="E372" s="34"/>
      <c r="F372" s="34"/>
      <c r="G372" s="33"/>
      <c r="H372" s="35"/>
      <c r="I372" s="34"/>
      <c r="J372" s="34"/>
      <c r="K372" s="34"/>
      <c r="L372" s="33"/>
      <c r="M372" s="33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</row>
    <row r="373" spans="1:45" ht="14.4">
      <c r="A373" s="33"/>
      <c r="B373" s="33"/>
      <c r="C373" s="33"/>
      <c r="D373" s="34"/>
      <c r="E373" s="34"/>
      <c r="F373" s="34"/>
      <c r="G373" s="33"/>
      <c r="H373" s="35"/>
      <c r="I373" s="34"/>
      <c r="J373" s="34"/>
      <c r="K373" s="34"/>
      <c r="L373" s="33"/>
      <c r="M373" s="33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</row>
    <row r="374" spans="1:45" ht="14.4">
      <c r="A374" s="33"/>
      <c r="B374" s="33"/>
      <c r="C374" s="33"/>
      <c r="D374" s="34"/>
      <c r="E374" s="34"/>
      <c r="F374" s="34"/>
      <c r="G374" s="33"/>
      <c r="H374" s="35"/>
      <c r="I374" s="34"/>
      <c r="J374" s="34"/>
      <c r="K374" s="34"/>
      <c r="L374" s="33"/>
      <c r="M374" s="33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</row>
    <row r="375" spans="1:45" ht="14.4">
      <c r="A375" s="33"/>
      <c r="B375" s="33"/>
      <c r="C375" s="33"/>
      <c r="D375" s="34"/>
      <c r="E375" s="34"/>
      <c r="F375" s="34"/>
      <c r="G375" s="33"/>
      <c r="H375" s="35"/>
      <c r="I375" s="34"/>
      <c r="J375" s="34"/>
      <c r="K375" s="34"/>
      <c r="L375" s="33"/>
      <c r="M375" s="33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</row>
    <row r="376" spans="1:45" ht="14.4">
      <c r="A376" s="33"/>
      <c r="B376" s="33"/>
      <c r="C376" s="33"/>
      <c r="D376" s="34"/>
      <c r="E376" s="34"/>
      <c r="F376" s="34"/>
      <c r="G376" s="33"/>
      <c r="H376" s="35"/>
      <c r="I376" s="34"/>
      <c r="J376" s="34"/>
      <c r="K376" s="34"/>
      <c r="L376" s="33"/>
      <c r="M376" s="33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</row>
    <row r="377" spans="1:45" ht="14.4">
      <c r="A377" s="33"/>
      <c r="B377" s="33"/>
      <c r="C377" s="33"/>
      <c r="D377" s="34"/>
      <c r="E377" s="34"/>
      <c r="F377" s="34"/>
      <c r="G377" s="33"/>
      <c r="H377" s="35"/>
      <c r="I377" s="34"/>
      <c r="J377" s="34"/>
      <c r="K377" s="34"/>
      <c r="L377" s="33"/>
      <c r="M377" s="33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</row>
    <row r="378" spans="1:45" ht="14.4">
      <c r="A378" s="33"/>
      <c r="B378" s="33"/>
      <c r="C378" s="33"/>
      <c r="D378" s="34"/>
      <c r="E378" s="34"/>
      <c r="F378" s="34"/>
      <c r="G378" s="33"/>
      <c r="H378" s="35"/>
      <c r="I378" s="34"/>
      <c r="J378" s="34"/>
      <c r="K378" s="34"/>
      <c r="L378" s="33"/>
      <c r="M378" s="33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</row>
    <row r="379" spans="1:45" ht="14.4">
      <c r="A379" s="33"/>
      <c r="B379" s="33"/>
      <c r="C379" s="33"/>
      <c r="D379" s="34"/>
      <c r="E379" s="34"/>
      <c r="F379" s="34"/>
      <c r="G379" s="33"/>
      <c r="H379" s="35"/>
      <c r="I379" s="34"/>
      <c r="J379" s="34"/>
      <c r="K379" s="34"/>
      <c r="L379" s="33"/>
      <c r="M379" s="33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</row>
    <row r="380" spans="1:45" ht="14.4">
      <c r="A380" s="33"/>
      <c r="B380" s="33"/>
      <c r="C380" s="33"/>
      <c r="D380" s="34"/>
      <c r="E380" s="34"/>
      <c r="F380" s="34"/>
      <c r="G380" s="33"/>
      <c r="H380" s="35"/>
      <c r="I380" s="34"/>
      <c r="J380" s="34"/>
      <c r="K380" s="34"/>
      <c r="L380" s="33"/>
      <c r="M380" s="33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</row>
    <row r="381" spans="1:45" ht="14.4">
      <c r="A381" s="33"/>
      <c r="B381" s="33"/>
      <c r="C381" s="33"/>
      <c r="D381" s="34"/>
      <c r="E381" s="34"/>
      <c r="F381" s="34"/>
      <c r="G381" s="33"/>
      <c r="H381" s="35"/>
      <c r="I381" s="34"/>
      <c r="J381" s="34"/>
      <c r="K381" s="34"/>
      <c r="L381" s="33"/>
      <c r="M381" s="33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</row>
    <row r="382" spans="1:45" ht="14.4">
      <c r="A382" s="33"/>
      <c r="B382" s="33"/>
      <c r="C382" s="33"/>
      <c r="D382" s="34"/>
      <c r="E382" s="34"/>
      <c r="F382" s="34"/>
      <c r="G382" s="33"/>
      <c r="H382" s="35"/>
      <c r="I382" s="34"/>
      <c r="J382" s="34"/>
      <c r="K382" s="34"/>
      <c r="L382" s="33"/>
      <c r="M382" s="33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</row>
    <row r="383" spans="1:45" ht="14.4">
      <c r="A383" s="33"/>
      <c r="B383" s="33"/>
      <c r="C383" s="33"/>
      <c r="D383" s="34"/>
      <c r="E383" s="34"/>
      <c r="F383" s="34"/>
      <c r="G383" s="33"/>
      <c r="H383" s="35"/>
      <c r="I383" s="34"/>
      <c r="J383" s="34"/>
      <c r="K383" s="34"/>
      <c r="L383" s="33"/>
      <c r="M383" s="33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</row>
    <row r="384" spans="1:45" ht="14.4">
      <c r="A384" s="33"/>
      <c r="B384" s="33"/>
      <c r="C384" s="33"/>
      <c r="D384" s="34"/>
      <c r="E384" s="34"/>
      <c r="F384" s="34"/>
      <c r="G384" s="33"/>
      <c r="H384" s="35"/>
      <c r="I384" s="34"/>
      <c r="J384" s="34"/>
      <c r="K384" s="34"/>
      <c r="L384" s="33"/>
      <c r="M384" s="33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</row>
    <row r="385" spans="1:45" ht="14.4">
      <c r="A385" s="33"/>
      <c r="B385" s="33"/>
      <c r="C385" s="33"/>
      <c r="D385" s="34"/>
      <c r="E385" s="34"/>
      <c r="F385" s="34"/>
      <c r="G385" s="33"/>
      <c r="H385" s="35"/>
      <c r="I385" s="34"/>
      <c r="J385" s="34"/>
      <c r="K385" s="34"/>
      <c r="L385" s="33"/>
      <c r="M385" s="33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</row>
    <row r="386" spans="1:45" ht="14.4">
      <c r="A386" s="33"/>
      <c r="B386" s="33"/>
      <c r="C386" s="33"/>
      <c r="D386" s="34"/>
      <c r="E386" s="34"/>
      <c r="F386" s="34"/>
      <c r="G386" s="33"/>
      <c r="H386" s="35"/>
      <c r="I386" s="34"/>
      <c r="J386" s="34"/>
      <c r="K386" s="34"/>
      <c r="L386" s="33"/>
      <c r="M386" s="33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</row>
    <row r="387" spans="1:45" ht="14.4">
      <c r="A387" s="33"/>
      <c r="B387" s="33"/>
      <c r="C387" s="33"/>
      <c r="D387" s="34"/>
      <c r="E387" s="34"/>
      <c r="F387" s="34"/>
      <c r="G387" s="33"/>
      <c r="H387" s="35"/>
      <c r="I387" s="34"/>
      <c r="J387" s="34"/>
      <c r="K387" s="34"/>
      <c r="L387" s="33"/>
      <c r="M387" s="33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</row>
    <row r="388" spans="1:45" ht="14.4">
      <c r="A388" s="33"/>
      <c r="B388" s="33"/>
      <c r="C388" s="33"/>
      <c r="D388" s="34"/>
      <c r="E388" s="34"/>
      <c r="F388" s="34"/>
      <c r="G388" s="33"/>
      <c r="H388" s="35"/>
      <c r="I388" s="34"/>
      <c r="J388" s="34"/>
      <c r="K388" s="34"/>
      <c r="L388" s="33"/>
      <c r="M388" s="33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</row>
    <row r="389" spans="1:45" ht="14.4">
      <c r="A389" s="33"/>
      <c r="B389" s="33"/>
      <c r="C389" s="33"/>
      <c r="D389" s="34"/>
      <c r="E389" s="34"/>
      <c r="F389" s="34"/>
      <c r="G389" s="33"/>
      <c r="H389" s="35"/>
      <c r="I389" s="34"/>
      <c r="J389" s="34"/>
      <c r="K389" s="34"/>
      <c r="L389" s="33"/>
      <c r="M389" s="33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</row>
    <row r="390" spans="1:45" ht="14.4">
      <c r="A390" s="33"/>
      <c r="B390" s="33"/>
      <c r="C390" s="33"/>
      <c r="D390" s="34"/>
      <c r="E390" s="34"/>
      <c r="F390" s="34"/>
      <c r="G390" s="33"/>
      <c r="H390" s="35"/>
      <c r="I390" s="34"/>
      <c r="J390" s="34"/>
      <c r="K390" s="34"/>
      <c r="L390" s="33"/>
      <c r="M390" s="33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</row>
    <row r="391" spans="1:45" ht="14.4">
      <c r="A391" s="33"/>
      <c r="B391" s="33"/>
      <c r="C391" s="33"/>
      <c r="D391" s="34"/>
      <c r="E391" s="34"/>
      <c r="F391" s="34"/>
      <c r="G391" s="33"/>
      <c r="H391" s="35"/>
      <c r="I391" s="34"/>
      <c r="J391" s="34"/>
      <c r="K391" s="34"/>
      <c r="L391" s="33"/>
      <c r="M391" s="33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</row>
    <row r="392" spans="1:45" ht="14.4">
      <c r="A392" s="33"/>
      <c r="B392" s="33"/>
      <c r="C392" s="33"/>
      <c r="D392" s="34"/>
      <c r="E392" s="34"/>
      <c r="F392" s="34"/>
      <c r="G392" s="33"/>
      <c r="H392" s="35"/>
      <c r="I392" s="34"/>
      <c r="J392" s="34"/>
      <c r="K392" s="34"/>
      <c r="L392" s="33"/>
      <c r="M392" s="33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  <c r="AO392" s="34"/>
      <c r="AP392" s="34"/>
      <c r="AQ392" s="34"/>
      <c r="AR392" s="34"/>
      <c r="AS392" s="34"/>
    </row>
    <row r="393" spans="1:45" ht="14.4">
      <c r="A393" s="33"/>
      <c r="B393" s="33"/>
      <c r="C393" s="33"/>
      <c r="D393" s="34"/>
      <c r="E393" s="34"/>
      <c r="F393" s="34"/>
      <c r="G393" s="33"/>
      <c r="H393" s="35"/>
      <c r="I393" s="34"/>
      <c r="J393" s="34"/>
      <c r="K393" s="34"/>
      <c r="L393" s="33"/>
      <c r="M393" s="33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</row>
    <row r="394" spans="1:45" ht="14.4">
      <c r="A394" s="33"/>
      <c r="B394" s="33"/>
      <c r="C394" s="33"/>
      <c r="D394" s="34"/>
      <c r="E394" s="34"/>
      <c r="F394" s="34"/>
      <c r="G394" s="33"/>
      <c r="H394" s="35"/>
      <c r="I394" s="34"/>
      <c r="J394" s="34"/>
      <c r="K394" s="34"/>
      <c r="L394" s="33"/>
      <c r="M394" s="33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</row>
    <row r="395" spans="1:45" ht="14.4">
      <c r="A395" s="33"/>
      <c r="B395" s="33"/>
      <c r="C395" s="33"/>
      <c r="D395" s="34"/>
      <c r="E395" s="34"/>
      <c r="F395" s="34"/>
      <c r="G395" s="33"/>
      <c r="H395" s="35"/>
      <c r="I395" s="34"/>
      <c r="J395" s="34"/>
      <c r="K395" s="34"/>
      <c r="L395" s="33"/>
      <c r="M395" s="33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</row>
    <row r="396" spans="1:45" ht="14.4">
      <c r="A396" s="33"/>
      <c r="B396" s="33"/>
      <c r="C396" s="33"/>
      <c r="D396" s="34"/>
      <c r="E396" s="34"/>
      <c r="F396" s="34"/>
      <c r="G396" s="33"/>
      <c r="H396" s="35"/>
      <c r="I396" s="34"/>
      <c r="J396" s="34"/>
      <c r="K396" s="34"/>
      <c r="L396" s="33"/>
      <c r="M396" s="33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</row>
    <row r="397" spans="1:45" ht="14.4">
      <c r="A397" s="33"/>
      <c r="B397" s="33"/>
      <c r="C397" s="33"/>
      <c r="D397" s="34"/>
      <c r="E397" s="34"/>
      <c r="F397" s="34"/>
      <c r="G397" s="33"/>
      <c r="H397" s="35"/>
      <c r="I397" s="34"/>
      <c r="J397" s="34"/>
      <c r="K397" s="34"/>
      <c r="L397" s="33"/>
      <c r="M397" s="33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</row>
    <row r="398" spans="1:45" ht="14.4">
      <c r="A398" s="33"/>
      <c r="B398" s="33"/>
      <c r="C398" s="33"/>
      <c r="D398" s="34"/>
      <c r="E398" s="34"/>
      <c r="F398" s="34"/>
      <c r="G398" s="33"/>
      <c r="H398" s="35"/>
      <c r="I398" s="34"/>
      <c r="J398" s="34"/>
      <c r="K398" s="34"/>
      <c r="L398" s="33"/>
      <c r="M398" s="33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</row>
    <row r="399" spans="1:45" ht="14.4">
      <c r="A399" s="33"/>
      <c r="B399" s="33"/>
      <c r="C399" s="33"/>
      <c r="D399" s="34"/>
      <c r="E399" s="34"/>
      <c r="F399" s="34"/>
      <c r="G399" s="33"/>
      <c r="H399" s="35"/>
      <c r="I399" s="34"/>
      <c r="J399" s="34"/>
      <c r="K399" s="34"/>
      <c r="L399" s="33"/>
      <c r="M399" s="33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</row>
    <row r="400" spans="1:45" ht="14.4">
      <c r="A400" s="33"/>
      <c r="B400" s="33"/>
      <c r="C400" s="33"/>
      <c r="D400" s="34"/>
      <c r="E400" s="34"/>
      <c r="F400" s="34"/>
      <c r="G400" s="33"/>
      <c r="H400" s="35"/>
      <c r="I400" s="34"/>
      <c r="J400" s="34"/>
      <c r="K400" s="34"/>
      <c r="L400" s="33"/>
      <c r="M400" s="33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</row>
    <row r="401" spans="1:45" ht="14.4">
      <c r="A401" s="33"/>
      <c r="B401" s="33"/>
      <c r="C401" s="33"/>
      <c r="D401" s="34"/>
      <c r="E401" s="34"/>
      <c r="F401" s="34"/>
      <c r="G401" s="33"/>
      <c r="H401" s="35"/>
      <c r="I401" s="34"/>
      <c r="J401" s="34"/>
      <c r="K401" s="34"/>
      <c r="L401" s="33"/>
      <c r="M401" s="33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</row>
    <row r="402" spans="1:45" ht="14.4">
      <c r="A402" s="33"/>
      <c r="B402" s="33"/>
      <c r="C402" s="33"/>
      <c r="D402" s="34"/>
      <c r="E402" s="34"/>
      <c r="F402" s="34"/>
      <c r="G402" s="33"/>
      <c r="H402" s="35"/>
      <c r="I402" s="34"/>
      <c r="J402" s="34"/>
      <c r="K402" s="34"/>
      <c r="L402" s="33"/>
      <c r="M402" s="33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  <c r="AO402" s="34"/>
      <c r="AP402" s="34"/>
      <c r="AQ402" s="34"/>
      <c r="AR402" s="34"/>
      <c r="AS402" s="34"/>
    </row>
    <row r="403" spans="1:45" ht="14.4">
      <c r="A403" s="33"/>
      <c r="B403" s="33"/>
      <c r="C403" s="33"/>
      <c r="D403" s="34"/>
      <c r="E403" s="34"/>
      <c r="F403" s="34"/>
      <c r="G403" s="33"/>
      <c r="H403" s="35"/>
      <c r="I403" s="34"/>
      <c r="J403" s="34"/>
      <c r="K403" s="34"/>
      <c r="L403" s="33"/>
      <c r="M403" s="33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</row>
    <row r="404" spans="1:45" ht="14.4">
      <c r="A404" s="33"/>
      <c r="B404" s="33"/>
      <c r="C404" s="33"/>
      <c r="D404" s="34"/>
      <c r="E404" s="34"/>
      <c r="F404" s="34"/>
      <c r="G404" s="33"/>
      <c r="H404" s="35"/>
      <c r="I404" s="34"/>
      <c r="J404" s="34"/>
      <c r="K404" s="34"/>
      <c r="L404" s="33"/>
      <c r="M404" s="33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</row>
    <row r="405" spans="1:45" ht="14.4">
      <c r="A405" s="33"/>
      <c r="B405" s="33"/>
      <c r="C405" s="33"/>
      <c r="D405" s="34"/>
      <c r="E405" s="34"/>
      <c r="F405" s="34"/>
      <c r="G405" s="33"/>
      <c r="H405" s="35"/>
      <c r="I405" s="34"/>
      <c r="J405" s="34"/>
      <c r="K405" s="34"/>
      <c r="L405" s="33"/>
      <c r="M405" s="33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</row>
    <row r="406" spans="1:45" ht="14.4">
      <c r="A406" s="33"/>
      <c r="B406" s="33"/>
      <c r="C406" s="33"/>
      <c r="D406" s="34"/>
      <c r="E406" s="34"/>
      <c r="F406" s="34"/>
      <c r="G406" s="33"/>
      <c r="H406" s="35"/>
      <c r="I406" s="34"/>
      <c r="J406" s="34"/>
      <c r="K406" s="34"/>
      <c r="L406" s="33"/>
      <c r="M406" s="33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</row>
    <row r="407" spans="1:45" ht="14.4">
      <c r="A407" s="33"/>
      <c r="B407" s="33"/>
      <c r="C407" s="33"/>
      <c r="D407" s="34"/>
      <c r="E407" s="34"/>
      <c r="F407" s="34"/>
      <c r="G407" s="33"/>
      <c r="H407" s="35"/>
      <c r="I407" s="34"/>
      <c r="J407" s="34"/>
      <c r="K407" s="34"/>
      <c r="L407" s="33"/>
      <c r="M407" s="33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</row>
    <row r="408" spans="1:45" ht="14.4">
      <c r="A408" s="33"/>
      <c r="B408" s="33"/>
      <c r="C408" s="33"/>
      <c r="D408" s="34"/>
      <c r="E408" s="34"/>
      <c r="F408" s="34"/>
      <c r="G408" s="33"/>
      <c r="H408" s="35"/>
      <c r="I408" s="34"/>
      <c r="J408" s="34"/>
      <c r="K408" s="34"/>
      <c r="L408" s="33"/>
      <c r="M408" s="33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  <c r="AO408" s="34"/>
      <c r="AP408" s="34"/>
      <c r="AQ408" s="34"/>
      <c r="AR408" s="34"/>
      <c r="AS408" s="34"/>
    </row>
    <row r="409" spans="1:45" ht="14.4">
      <c r="A409" s="33"/>
      <c r="B409" s="33"/>
      <c r="C409" s="33"/>
      <c r="D409" s="34"/>
      <c r="E409" s="34"/>
      <c r="F409" s="34"/>
      <c r="G409" s="33"/>
      <c r="H409" s="35"/>
      <c r="I409" s="34"/>
      <c r="J409" s="34"/>
      <c r="K409" s="34"/>
      <c r="L409" s="33"/>
      <c r="M409" s="33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</row>
    <row r="410" spans="1:45" ht="14.4">
      <c r="A410" s="33"/>
      <c r="B410" s="33"/>
      <c r="C410" s="33"/>
      <c r="D410" s="34"/>
      <c r="E410" s="34"/>
      <c r="F410" s="34"/>
      <c r="G410" s="33"/>
      <c r="H410" s="35"/>
      <c r="I410" s="34"/>
      <c r="J410" s="34"/>
      <c r="K410" s="34"/>
      <c r="L410" s="33"/>
      <c r="M410" s="33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</row>
    <row r="411" spans="1:45" ht="14.4">
      <c r="A411" s="33"/>
      <c r="B411" s="33"/>
      <c r="C411" s="33"/>
      <c r="D411" s="34"/>
      <c r="E411" s="34"/>
      <c r="F411" s="34"/>
      <c r="G411" s="33"/>
      <c r="H411" s="35"/>
      <c r="I411" s="34"/>
      <c r="J411" s="34"/>
      <c r="K411" s="34"/>
      <c r="L411" s="33"/>
      <c r="M411" s="33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</row>
    <row r="412" spans="1:45" ht="14.4">
      <c r="A412" s="33"/>
      <c r="B412" s="33"/>
      <c r="C412" s="33"/>
      <c r="D412" s="34"/>
      <c r="E412" s="34"/>
      <c r="F412" s="34"/>
      <c r="G412" s="33"/>
      <c r="H412" s="35"/>
      <c r="I412" s="34"/>
      <c r="J412" s="34"/>
      <c r="K412" s="34"/>
      <c r="L412" s="33"/>
      <c r="M412" s="33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</row>
    <row r="413" spans="1:45" ht="14.4">
      <c r="A413" s="33"/>
      <c r="B413" s="33"/>
      <c r="C413" s="33"/>
      <c r="D413" s="34"/>
      <c r="E413" s="34"/>
      <c r="F413" s="34"/>
      <c r="G413" s="33"/>
      <c r="H413" s="35"/>
      <c r="I413" s="34"/>
      <c r="J413" s="34"/>
      <c r="K413" s="34"/>
      <c r="L413" s="33"/>
      <c r="M413" s="33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</row>
    <row r="414" spans="1:45" ht="14.4">
      <c r="A414" s="33"/>
      <c r="B414" s="33"/>
      <c r="C414" s="33"/>
      <c r="D414" s="34"/>
      <c r="E414" s="34"/>
      <c r="F414" s="34"/>
      <c r="G414" s="33"/>
      <c r="H414" s="35"/>
      <c r="I414" s="34"/>
      <c r="J414" s="34"/>
      <c r="K414" s="34"/>
      <c r="L414" s="33"/>
      <c r="M414" s="33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</row>
    <row r="415" spans="1:45" ht="14.4">
      <c r="A415" s="33"/>
      <c r="B415" s="33"/>
      <c r="C415" s="33"/>
      <c r="D415" s="34"/>
      <c r="E415" s="34"/>
      <c r="F415" s="34"/>
      <c r="G415" s="33"/>
      <c r="H415" s="35"/>
      <c r="I415" s="34"/>
      <c r="J415" s="34"/>
      <c r="K415" s="34"/>
      <c r="L415" s="33"/>
      <c r="M415" s="33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</row>
    <row r="416" spans="1:45" ht="14.4">
      <c r="A416" s="33"/>
      <c r="B416" s="33"/>
      <c r="C416" s="33"/>
      <c r="D416" s="34"/>
      <c r="E416" s="34"/>
      <c r="F416" s="34"/>
      <c r="G416" s="33"/>
      <c r="H416" s="35"/>
      <c r="I416" s="34"/>
      <c r="J416" s="34"/>
      <c r="K416" s="34"/>
      <c r="L416" s="33"/>
      <c r="M416" s="33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  <c r="AQ416" s="34"/>
      <c r="AR416" s="34"/>
      <c r="AS416" s="34"/>
    </row>
    <row r="417" spans="1:45" ht="14.4">
      <c r="A417" s="33"/>
      <c r="B417" s="33"/>
      <c r="C417" s="33"/>
      <c r="D417" s="34"/>
      <c r="E417" s="34"/>
      <c r="F417" s="34"/>
      <c r="G417" s="33"/>
      <c r="H417" s="35"/>
      <c r="I417" s="34"/>
      <c r="J417" s="34"/>
      <c r="K417" s="34"/>
      <c r="L417" s="33"/>
      <c r="M417" s="33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</row>
    <row r="418" spans="1:45" ht="14.4">
      <c r="A418" s="33"/>
      <c r="B418" s="33"/>
      <c r="C418" s="33"/>
      <c r="D418" s="34"/>
      <c r="E418" s="34"/>
      <c r="F418" s="34"/>
      <c r="G418" s="33"/>
      <c r="H418" s="35"/>
      <c r="I418" s="34"/>
      <c r="J418" s="34"/>
      <c r="K418" s="34"/>
      <c r="L418" s="33"/>
      <c r="M418" s="33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</row>
    <row r="419" spans="1:45" ht="14.4">
      <c r="A419" s="33"/>
      <c r="B419" s="33"/>
      <c r="C419" s="33"/>
      <c r="D419" s="34"/>
      <c r="E419" s="34"/>
      <c r="F419" s="34"/>
      <c r="G419" s="33"/>
      <c r="H419" s="35"/>
      <c r="I419" s="34"/>
      <c r="J419" s="34"/>
      <c r="K419" s="34"/>
      <c r="L419" s="33"/>
      <c r="M419" s="33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</row>
    <row r="420" spans="1:45" ht="14.4">
      <c r="A420" s="33"/>
      <c r="B420" s="33"/>
      <c r="C420" s="33"/>
      <c r="D420" s="34"/>
      <c r="E420" s="34"/>
      <c r="F420" s="34"/>
      <c r="G420" s="33"/>
      <c r="H420" s="35"/>
      <c r="I420" s="34"/>
      <c r="J420" s="34"/>
      <c r="K420" s="34"/>
      <c r="L420" s="33"/>
      <c r="M420" s="33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/>
      <c r="AS420" s="34"/>
    </row>
    <row r="421" spans="1:45" ht="14.4">
      <c r="A421" s="33"/>
      <c r="B421" s="33"/>
      <c r="C421" s="33"/>
      <c r="D421" s="34"/>
      <c r="E421" s="34"/>
      <c r="F421" s="34"/>
      <c r="G421" s="33"/>
      <c r="H421" s="35"/>
      <c r="I421" s="34"/>
      <c r="J421" s="34"/>
      <c r="K421" s="34"/>
      <c r="L421" s="33"/>
      <c r="M421" s="33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</row>
    <row r="422" spans="1:45" ht="14.4">
      <c r="A422" s="33"/>
      <c r="B422" s="33"/>
      <c r="C422" s="33"/>
      <c r="D422" s="34"/>
      <c r="E422" s="34"/>
      <c r="F422" s="34"/>
      <c r="G422" s="33"/>
      <c r="H422" s="35"/>
      <c r="I422" s="34"/>
      <c r="J422" s="34"/>
      <c r="K422" s="34"/>
      <c r="L422" s="33"/>
      <c r="M422" s="33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</row>
    <row r="423" spans="1:45" ht="14.4">
      <c r="A423" s="33"/>
      <c r="B423" s="33"/>
      <c r="C423" s="33"/>
      <c r="D423" s="34"/>
      <c r="E423" s="34"/>
      <c r="F423" s="34"/>
      <c r="G423" s="33"/>
      <c r="H423" s="35"/>
      <c r="I423" s="34"/>
      <c r="J423" s="34"/>
      <c r="K423" s="34"/>
      <c r="L423" s="33"/>
      <c r="M423" s="33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</row>
    <row r="424" spans="1:45" ht="14.4">
      <c r="A424" s="33"/>
      <c r="B424" s="33"/>
      <c r="C424" s="33"/>
      <c r="D424" s="34"/>
      <c r="E424" s="34"/>
      <c r="F424" s="34"/>
      <c r="G424" s="33"/>
      <c r="H424" s="35"/>
      <c r="I424" s="34"/>
      <c r="J424" s="34"/>
      <c r="K424" s="34"/>
      <c r="L424" s="33"/>
      <c r="M424" s="33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  <c r="AQ424" s="34"/>
      <c r="AR424" s="34"/>
      <c r="AS424" s="34"/>
    </row>
    <row r="425" spans="1:45" ht="14.4">
      <c r="A425" s="33"/>
      <c r="B425" s="33"/>
      <c r="C425" s="33"/>
      <c r="D425" s="34"/>
      <c r="E425" s="34"/>
      <c r="F425" s="34"/>
      <c r="G425" s="33"/>
      <c r="H425" s="35"/>
      <c r="I425" s="34"/>
      <c r="J425" s="34"/>
      <c r="K425" s="34"/>
      <c r="L425" s="33"/>
      <c r="M425" s="33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</row>
    <row r="426" spans="1:45" ht="14.4">
      <c r="A426" s="33"/>
      <c r="B426" s="33"/>
      <c r="C426" s="33"/>
      <c r="D426" s="34"/>
      <c r="E426" s="34"/>
      <c r="F426" s="34"/>
      <c r="G426" s="33"/>
      <c r="H426" s="35"/>
      <c r="I426" s="34"/>
      <c r="J426" s="34"/>
      <c r="K426" s="34"/>
      <c r="L426" s="33"/>
      <c r="M426" s="33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</row>
    <row r="427" spans="1:45" ht="14.4">
      <c r="A427" s="33"/>
      <c r="B427" s="33"/>
      <c r="C427" s="33"/>
      <c r="D427" s="34"/>
      <c r="E427" s="34"/>
      <c r="F427" s="34"/>
      <c r="G427" s="33"/>
      <c r="H427" s="35"/>
      <c r="I427" s="34"/>
      <c r="J427" s="34"/>
      <c r="K427" s="34"/>
      <c r="L427" s="33"/>
      <c r="M427" s="33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</row>
    <row r="428" spans="1:45" ht="14.4">
      <c r="A428" s="33"/>
      <c r="B428" s="33"/>
      <c r="C428" s="33"/>
      <c r="D428" s="34"/>
      <c r="E428" s="34"/>
      <c r="F428" s="34"/>
      <c r="G428" s="33"/>
      <c r="H428" s="35"/>
      <c r="I428" s="34"/>
      <c r="J428" s="34"/>
      <c r="K428" s="34"/>
      <c r="L428" s="33"/>
      <c r="M428" s="33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</row>
    <row r="429" spans="1:45" ht="14.4">
      <c r="A429" s="33"/>
      <c r="B429" s="33"/>
      <c r="C429" s="33"/>
      <c r="D429" s="34"/>
      <c r="E429" s="34"/>
      <c r="F429" s="34"/>
      <c r="G429" s="33"/>
      <c r="H429" s="35"/>
      <c r="I429" s="34"/>
      <c r="J429" s="34"/>
      <c r="K429" s="34"/>
      <c r="L429" s="33"/>
      <c r="M429" s="33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  <c r="AQ429" s="34"/>
      <c r="AR429" s="34"/>
      <c r="AS429" s="34"/>
    </row>
    <row r="430" spans="1:45" ht="14.4">
      <c r="A430" s="33"/>
      <c r="B430" s="33"/>
      <c r="C430" s="33"/>
      <c r="D430" s="34"/>
      <c r="E430" s="34"/>
      <c r="F430" s="34"/>
      <c r="G430" s="33"/>
      <c r="H430" s="35"/>
      <c r="I430" s="34"/>
      <c r="J430" s="34"/>
      <c r="K430" s="34"/>
      <c r="L430" s="33"/>
      <c r="M430" s="33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</row>
    <row r="431" spans="1:45" ht="14.4">
      <c r="A431" s="33"/>
      <c r="B431" s="33"/>
      <c r="C431" s="33"/>
      <c r="D431" s="34"/>
      <c r="E431" s="34"/>
      <c r="F431" s="34"/>
      <c r="G431" s="33"/>
      <c r="H431" s="35"/>
      <c r="I431" s="34"/>
      <c r="J431" s="34"/>
      <c r="K431" s="34"/>
      <c r="L431" s="33"/>
      <c r="M431" s="33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</row>
    <row r="432" spans="1:45" ht="14.4">
      <c r="A432" s="33"/>
      <c r="B432" s="33"/>
      <c r="C432" s="33"/>
      <c r="D432" s="34"/>
      <c r="E432" s="34"/>
      <c r="F432" s="34"/>
      <c r="G432" s="33"/>
      <c r="H432" s="35"/>
      <c r="I432" s="34"/>
      <c r="J432" s="34"/>
      <c r="K432" s="34"/>
      <c r="L432" s="33"/>
      <c r="M432" s="33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</row>
    <row r="433" spans="1:45" ht="14.4">
      <c r="A433" s="33"/>
      <c r="B433" s="33"/>
      <c r="C433" s="33"/>
      <c r="D433" s="34"/>
      <c r="E433" s="34"/>
      <c r="F433" s="34"/>
      <c r="G433" s="33"/>
      <c r="H433" s="35"/>
      <c r="I433" s="34"/>
      <c r="J433" s="34"/>
      <c r="K433" s="34"/>
      <c r="L433" s="33"/>
      <c r="M433" s="33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  <c r="AQ433" s="34"/>
      <c r="AR433" s="34"/>
      <c r="AS433" s="34"/>
    </row>
    <row r="434" spans="1:45" ht="14.4">
      <c r="A434" s="33"/>
      <c r="B434" s="33"/>
      <c r="C434" s="33"/>
      <c r="D434" s="34"/>
      <c r="E434" s="34"/>
      <c r="F434" s="34"/>
      <c r="G434" s="33"/>
      <c r="H434" s="35"/>
      <c r="I434" s="34"/>
      <c r="J434" s="34"/>
      <c r="K434" s="34"/>
      <c r="L434" s="33"/>
      <c r="M434" s="33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</row>
    <row r="435" spans="1:45" ht="14.4">
      <c r="A435" s="33"/>
      <c r="B435" s="33"/>
      <c r="C435" s="33"/>
      <c r="D435" s="34"/>
      <c r="E435" s="34"/>
      <c r="F435" s="34"/>
      <c r="G435" s="33"/>
      <c r="H435" s="35"/>
      <c r="I435" s="34"/>
      <c r="J435" s="34"/>
      <c r="K435" s="34"/>
      <c r="L435" s="33"/>
      <c r="M435" s="33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  <c r="AO435" s="34"/>
      <c r="AP435" s="34"/>
      <c r="AQ435" s="34"/>
      <c r="AR435" s="34"/>
      <c r="AS435" s="34"/>
    </row>
    <row r="436" spans="1:45" ht="14.4">
      <c r="A436" s="33"/>
      <c r="B436" s="33"/>
      <c r="C436" s="33"/>
      <c r="D436" s="34"/>
      <c r="E436" s="34"/>
      <c r="F436" s="34"/>
      <c r="G436" s="33"/>
      <c r="H436" s="35"/>
      <c r="I436" s="34"/>
      <c r="J436" s="34"/>
      <c r="K436" s="34"/>
      <c r="L436" s="33"/>
      <c r="M436" s="33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  <c r="AO436" s="34"/>
      <c r="AP436" s="34"/>
      <c r="AQ436" s="34"/>
      <c r="AR436" s="34"/>
      <c r="AS436" s="34"/>
    </row>
    <row r="437" spans="1:45" ht="14.4">
      <c r="A437" s="33"/>
      <c r="B437" s="33"/>
      <c r="C437" s="33"/>
      <c r="D437" s="34"/>
      <c r="E437" s="34"/>
      <c r="F437" s="34"/>
      <c r="G437" s="33"/>
      <c r="H437" s="35"/>
      <c r="I437" s="34"/>
      <c r="J437" s="34"/>
      <c r="K437" s="34"/>
      <c r="L437" s="33"/>
      <c r="M437" s="33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</row>
    <row r="438" spans="1:45" ht="14.4">
      <c r="A438" s="33"/>
      <c r="B438" s="33"/>
      <c r="C438" s="33"/>
      <c r="D438" s="34"/>
      <c r="E438" s="34"/>
      <c r="F438" s="34"/>
      <c r="G438" s="33"/>
      <c r="H438" s="35"/>
      <c r="I438" s="34"/>
      <c r="J438" s="34"/>
      <c r="K438" s="34"/>
      <c r="L438" s="33"/>
      <c r="M438" s="33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</row>
    <row r="439" spans="1:45" ht="14.4">
      <c r="A439" s="33"/>
      <c r="B439" s="33"/>
      <c r="C439" s="33"/>
      <c r="D439" s="34"/>
      <c r="E439" s="34"/>
      <c r="F439" s="34"/>
      <c r="G439" s="33"/>
      <c r="H439" s="35"/>
      <c r="I439" s="34"/>
      <c r="J439" s="34"/>
      <c r="K439" s="34"/>
      <c r="L439" s="33"/>
      <c r="M439" s="33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  <c r="AQ439" s="34"/>
      <c r="AR439" s="34"/>
      <c r="AS439" s="34"/>
    </row>
    <row r="440" spans="1:45" ht="14.4">
      <c r="A440" s="33"/>
      <c r="B440" s="33"/>
      <c r="C440" s="33"/>
      <c r="D440" s="34"/>
      <c r="E440" s="34"/>
      <c r="F440" s="34"/>
      <c r="G440" s="33"/>
      <c r="H440" s="35"/>
      <c r="I440" s="34"/>
      <c r="J440" s="34"/>
      <c r="K440" s="34"/>
      <c r="L440" s="33"/>
      <c r="M440" s="33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</row>
    <row r="441" spans="1:45" ht="14.4">
      <c r="A441" s="33"/>
      <c r="B441" s="33"/>
      <c r="C441" s="33"/>
      <c r="D441" s="34"/>
      <c r="E441" s="34"/>
      <c r="F441" s="34"/>
      <c r="G441" s="33"/>
      <c r="H441" s="35"/>
      <c r="I441" s="34"/>
      <c r="J441" s="34"/>
      <c r="K441" s="34"/>
      <c r="L441" s="33"/>
      <c r="M441" s="33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</row>
    <row r="442" spans="1:45" ht="14.4">
      <c r="A442" s="33"/>
      <c r="B442" s="33"/>
      <c r="C442" s="33"/>
      <c r="D442" s="34"/>
      <c r="E442" s="34"/>
      <c r="F442" s="34"/>
      <c r="G442" s="33"/>
      <c r="H442" s="35"/>
      <c r="I442" s="34"/>
      <c r="J442" s="34"/>
      <c r="K442" s="34"/>
      <c r="L442" s="33"/>
      <c r="M442" s="33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</row>
    <row r="443" spans="1:45" ht="14.4">
      <c r="A443" s="33"/>
      <c r="B443" s="33"/>
      <c r="C443" s="33"/>
      <c r="D443" s="34"/>
      <c r="E443" s="34"/>
      <c r="F443" s="34"/>
      <c r="G443" s="33"/>
      <c r="H443" s="35"/>
      <c r="I443" s="34"/>
      <c r="J443" s="34"/>
      <c r="K443" s="34"/>
      <c r="L443" s="33"/>
      <c r="M443" s="33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  <c r="AO443" s="34"/>
      <c r="AP443" s="34"/>
      <c r="AQ443" s="34"/>
      <c r="AR443" s="34"/>
      <c r="AS443" s="34"/>
    </row>
    <row r="444" spans="1:45" ht="14.4">
      <c r="A444" s="33"/>
      <c r="B444" s="33"/>
      <c r="C444" s="33"/>
      <c r="D444" s="34"/>
      <c r="E444" s="34"/>
      <c r="F444" s="34"/>
      <c r="G444" s="33"/>
      <c r="H444" s="35"/>
      <c r="I444" s="34"/>
      <c r="J444" s="34"/>
      <c r="K444" s="34"/>
      <c r="L444" s="33"/>
      <c r="M444" s="33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  <c r="AO444" s="34"/>
      <c r="AP444" s="34"/>
      <c r="AQ444" s="34"/>
      <c r="AR444" s="34"/>
      <c r="AS444" s="34"/>
    </row>
    <row r="445" spans="1:45" ht="14.4">
      <c r="A445" s="33"/>
      <c r="B445" s="33"/>
      <c r="C445" s="33"/>
      <c r="D445" s="34"/>
      <c r="E445" s="34"/>
      <c r="F445" s="34"/>
      <c r="G445" s="33"/>
      <c r="H445" s="35"/>
      <c r="I445" s="34"/>
      <c r="J445" s="34"/>
      <c r="K445" s="34"/>
      <c r="L445" s="33"/>
      <c r="M445" s="33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  <c r="AO445" s="34"/>
      <c r="AP445" s="34"/>
      <c r="AQ445" s="34"/>
      <c r="AR445" s="34"/>
      <c r="AS445" s="34"/>
    </row>
    <row r="446" spans="1:45" ht="14.4">
      <c r="A446" s="33"/>
      <c r="B446" s="33"/>
      <c r="C446" s="33"/>
      <c r="D446" s="34"/>
      <c r="E446" s="34"/>
      <c r="F446" s="34"/>
      <c r="G446" s="33"/>
      <c r="H446" s="35"/>
      <c r="I446" s="34"/>
      <c r="J446" s="34"/>
      <c r="K446" s="34"/>
      <c r="L446" s="33"/>
      <c r="M446" s="33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  <c r="AO446" s="34"/>
      <c r="AP446" s="34"/>
      <c r="AQ446" s="34"/>
      <c r="AR446" s="34"/>
      <c r="AS446" s="34"/>
    </row>
    <row r="447" spans="1:45" ht="14.4">
      <c r="A447" s="33"/>
      <c r="B447" s="33"/>
      <c r="C447" s="33"/>
      <c r="D447" s="34"/>
      <c r="E447" s="34"/>
      <c r="F447" s="34"/>
      <c r="G447" s="33"/>
      <c r="H447" s="35"/>
      <c r="I447" s="34"/>
      <c r="J447" s="34"/>
      <c r="K447" s="34"/>
      <c r="L447" s="33"/>
      <c r="M447" s="33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  <c r="AO447" s="34"/>
      <c r="AP447" s="34"/>
      <c r="AQ447" s="34"/>
      <c r="AR447" s="34"/>
      <c r="AS447" s="34"/>
    </row>
    <row r="448" spans="1:45" ht="14.4">
      <c r="A448" s="33"/>
      <c r="B448" s="33"/>
      <c r="C448" s="33"/>
      <c r="D448" s="34"/>
      <c r="E448" s="34"/>
      <c r="F448" s="34"/>
      <c r="G448" s="33"/>
      <c r="H448" s="35"/>
      <c r="I448" s="34"/>
      <c r="J448" s="34"/>
      <c r="K448" s="34"/>
      <c r="L448" s="33"/>
      <c r="M448" s="33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</row>
    <row r="449" spans="1:45" ht="14.4">
      <c r="A449" s="33"/>
      <c r="B449" s="33"/>
      <c r="C449" s="33"/>
      <c r="D449" s="34"/>
      <c r="E449" s="34"/>
      <c r="F449" s="34"/>
      <c r="G449" s="33"/>
      <c r="H449" s="35"/>
      <c r="I449" s="34"/>
      <c r="J449" s="34"/>
      <c r="K449" s="34"/>
      <c r="L449" s="33"/>
      <c r="M449" s="33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  <c r="AQ449" s="34"/>
      <c r="AR449" s="34"/>
      <c r="AS449" s="34"/>
    </row>
    <row r="450" spans="1:45" ht="14.4">
      <c r="A450" s="33"/>
      <c r="B450" s="33"/>
      <c r="C450" s="33"/>
      <c r="D450" s="34"/>
      <c r="E450" s="34"/>
      <c r="F450" s="34"/>
      <c r="G450" s="33"/>
      <c r="H450" s="35"/>
      <c r="I450" s="34"/>
      <c r="J450" s="34"/>
      <c r="K450" s="34"/>
      <c r="L450" s="33"/>
      <c r="M450" s="33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  <c r="AQ450" s="34"/>
      <c r="AR450" s="34"/>
      <c r="AS450" s="34"/>
    </row>
    <row r="451" spans="1:45" ht="14.4">
      <c r="A451" s="33"/>
      <c r="B451" s="33"/>
      <c r="C451" s="33"/>
      <c r="D451" s="34"/>
      <c r="E451" s="34"/>
      <c r="F451" s="34"/>
      <c r="G451" s="33"/>
      <c r="H451" s="35"/>
      <c r="I451" s="34"/>
      <c r="J451" s="34"/>
      <c r="K451" s="34"/>
      <c r="L451" s="33"/>
      <c r="M451" s="33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</row>
    <row r="452" spans="1:45" ht="14.4">
      <c r="A452" s="33"/>
      <c r="B452" s="33"/>
      <c r="C452" s="33"/>
      <c r="D452" s="34"/>
      <c r="E452" s="34"/>
      <c r="F452" s="34"/>
      <c r="G452" s="33"/>
      <c r="H452" s="35"/>
      <c r="I452" s="34"/>
      <c r="J452" s="34"/>
      <c r="K452" s="34"/>
      <c r="L452" s="33"/>
      <c r="M452" s="33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</row>
    <row r="453" spans="1:45" ht="14.4">
      <c r="A453" s="33"/>
      <c r="B453" s="33"/>
      <c r="C453" s="33"/>
      <c r="D453" s="34"/>
      <c r="E453" s="34"/>
      <c r="F453" s="34"/>
      <c r="G453" s="33"/>
      <c r="H453" s="35"/>
      <c r="I453" s="34"/>
      <c r="J453" s="34"/>
      <c r="K453" s="34"/>
      <c r="L453" s="33"/>
      <c r="M453" s="33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  <c r="AO453" s="34"/>
      <c r="AP453" s="34"/>
      <c r="AQ453" s="34"/>
      <c r="AR453" s="34"/>
      <c r="AS453" s="34"/>
    </row>
    <row r="454" spans="1:45" ht="14.4">
      <c r="A454" s="33"/>
      <c r="B454" s="33"/>
      <c r="C454" s="33"/>
      <c r="D454" s="34"/>
      <c r="E454" s="34"/>
      <c r="F454" s="34"/>
      <c r="G454" s="33"/>
      <c r="H454" s="35"/>
      <c r="I454" s="34"/>
      <c r="J454" s="34"/>
      <c r="K454" s="34"/>
      <c r="L454" s="33"/>
      <c r="M454" s="33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  <c r="AO454" s="34"/>
      <c r="AP454" s="34"/>
      <c r="AQ454" s="34"/>
      <c r="AR454" s="34"/>
      <c r="AS454" s="34"/>
    </row>
    <row r="455" spans="1:45" ht="14.4">
      <c r="A455" s="33"/>
      <c r="B455" s="33"/>
      <c r="C455" s="33"/>
      <c r="D455" s="34"/>
      <c r="E455" s="34"/>
      <c r="F455" s="34"/>
      <c r="G455" s="33"/>
      <c r="H455" s="35"/>
      <c r="I455" s="34"/>
      <c r="J455" s="34"/>
      <c r="K455" s="34"/>
      <c r="L455" s="33"/>
      <c r="M455" s="33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  <c r="AO455" s="34"/>
      <c r="AP455" s="34"/>
      <c r="AQ455" s="34"/>
      <c r="AR455" s="34"/>
      <c r="AS455" s="34"/>
    </row>
    <row r="456" spans="1:45" ht="14.4">
      <c r="A456" s="33"/>
      <c r="B456" s="33"/>
      <c r="C456" s="33"/>
      <c r="D456" s="34"/>
      <c r="E456" s="34"/>
      <c r="F456" s="34"/>
      <c r="G456" s="33"/>
      <c r="H456" s="35"/>
      <c r="I456" s="34"/>
      <c r="J456" s="34"/>
      <c r="K456" s="34"/>
      <c r="L456" s="33"/>
      <c r="M456" s="33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  <c r="AQ456" s="34"/>
      <c r="AR456" s="34"/>
      <c r="AS456" s="34"/>
    </row>
    <row r="457" spans="1:45" ht="14.4">
      <c r="A457" s="33"/>
      <c r="B457" s="33"/>
      <c r="C457" s="33"/>
      <c r="D457" s="34"/>
      <c r="E457" s="34"/>
      <c r="F457" s="34"/>
      <c r="G457" s="33"/>
      <c r="H457" s="35"/>
      <c r="I457" s="34"/>
      <c r="J457" s="34"/>
      <c r="K457" s="34"/>
      <c r="L457" s="33"/>
      <c r="M457" s="33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</row>
    <row r="458" spans="1:45" ht="14.4">
      <c r="A458" s="33"/>
      <c r="B458" s="33"/>
      <c r="C458" s="33"/>
      <c r="D458" s="34"/>
      <c r="E458" s="34"/>
      <c r="F458" s="34"/>
      <c r="G458" s="33"/>
      <c r="H458" s="35"/>
      <c r="I458" s="34"/>
      <c r="J458" s="34"/>
      <c r="K458" s="34"/>
      <c r="L458" s="33"/>
      <c r="M458" s="33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  <c r="AO458" s="34"/>
      <c r="AP458" s="34"/>
      <c r="AQ458" s="34"/>
      <c r="AR458" s="34"/>
      <c r="AS458" s="34"/>
    </row>
    <row r="459" spans="1:45" ht="14.4">
      <c r="A459" s="33"/>
      <c r="B459" s="33"/>
      <c r="C459" s="33"/>
      <c r="D459" s="34"/>
      <c r="E459" s="34"/>
      <c r="F459" s="34"/>
      <c r="G459" s="33"/>
      <c r="H459" s="35"/>
      <c r="I459" s="34"/>
      <c r="J459" s="34"/>
      <c r="K459" s="34"/>
      <c r="L459" s="33"/>
      <c r="M459" s="33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</row>
    <row r="460" spans="1:45" ht="14.4">
      <c r="A460" s="33"/>
      <c r="B460" s="33"/>
      <c r="C460" s="33"/>
      <c r="D460" s="34"/>
      <c r="E460" s="34"/>
      <c r="F460" s="34"/>
      <c r="G460" s="33"/>
      <c r="H460" s="35"/>
      <c r="I460" s="34"/>
      <c r="J460" s="34"/>
      <c r="K460" s="34"/>
      <c r="L460" s="33"/>
      <c r="M460" s="33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</row>
    <row r="461" spans="1:45" ht="14.4">
      <c r="A461" s="33"/>
      <c r="B461" s="33"/>
      <c r="C461" s="33"/>
      <c r="D461" s="34"/>
      <c r="E461" s="34"/>
      <c r="F461" s="34"/>
      <c r="G461" s="33"/>
      <c r="H461" s="35"/>
      <c r="I461" s="34"/>
      <c r="J461" s="34"/>
      <c r="K461" s="34"/>
      <c r="L461" s="33"/>
      <c r="M461" s="33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</row>
    <row r="462" spans="1:45" ht="14.4">
      <c r="A462" s="33"/>
      <c r="B462" s="33"/>
      <c r="C462" s="33"/>
      <c r="D462" s="34"/>
      <c r="E462" s="34"/>
      <c r="F462" s="34"/>
      <c r="G462" s="33"/>
      <c r="H462" s="35"/>
      <c r="I462" s="34"/>
      <c r="J462" s="34"/>
      <c r="K462" s="34"/>
      <c r="L462" s="33"/>
      <c r="M462" s="33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  <c r="AQ462" s="34"/>
      <c r="AR462" s="34"/>
      <c r="AS462" s="34"/>
    </row>
    <row r="463" spans="1:45" ht="14.4">
      <c r="A463" s="33"/>
      <c r="B463" s="33"/>
      <c r="C463" s="33"/>
      <c r="D463" s="34"/>
      <c r="E463" s="34"/>
      <c r="F463" s="34"/>
      <c r="G463" s="33"/>
      <c r="H463" s="35"/>
      <c r="I463" s="34"/>
      <c r="J463" s="34"/>
      <c r="K463" s="34"/>
      <c r="L463" s="33"/>
      <c r="M463" s="33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</row>
    <row r="464" spans="1:45" ht="14.4">
      <c r="A464" s="33"/>
      <c r="B464" s="33"/>
      <c r="C464" s="33"/>
      <c r="D464" s="34"/>
      <c r="E464" s="34"/>
      <c r="F464" s="34"/>
      <c r="G464" s="33"/>
      <c r="H464" s="35"/>
      <c r="I464" s="34"/>
      <c r="J464" s="34"/>
      <c r="K464" s="34"/>
      <c r="L464" s="33"/>
      <c r="M464" s="33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</row>
    <row r="465" spans="1:45" ht="14.4">
      <c r="A465" s="33"/>
      <c r="B465" s="33"/>
      <c r="C465" s="33"/>
      <c r="D465" s="34"/>
      <c r="E465" s="34"/>
      <c r="F465" s="34"/>
      <c r="G465" s="33"/>
      <c r="H465" s="35"/>
      <c r="I465" s="34"/>
      <c r="J465" s="34"/>
      <c r="K465" s="34"/>
      <c r="L465" s="33"/>
      <c r="M465" s="33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</row>
    <row r="466" spans="1:45" ht="14.4">
      <c r="A466" s="33"/>
      <c r="B466" s="33"/>
      <c r="C466" s="33"/>
      <c r="D466" s="34"/>
      <c r="E466" s="34"/>
      <c r="F466" s="34"/>
      <c r="G466" s="33"/>
      <c r="H466" s="35"/>
      <c r="I466" s="34"/>
      <c r="J466" s="34"/>
      <c r="K466" s="34"/>
      <c r="L466" s="33"/>
      <c r="M466" s="33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</row>
    <row r="467" spans="1:45" ht="14.4">
      <c r="A467" s="33"/>
      <c r="B467" s="33"/>
      <c r="C467" s="33"/>
      <c r="D467" s="34"/>
      <c r="E467" s="34"/>
      <c r="F467" s="34"/>
      <c r="G467" s="33"/>
      <c r="H467" s="35"/>
      <c r="I467" s="34"/>
      <c r="J467" s="34"/>
      <c r="K467" s="34"/>
      <c r="L467" s="33"/>
      <c r="M467" s="33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</row>
    <row r="468" spans="1:45" ht="14.4">
      <c r="A468" s="33"/>
      <c r="B468" s="33"/>
      <c r="C468" s="33"/>
      <c r="D468" s="34"/>
      <c r="E468" s="34"/>
      <c r="F468" s="34"/>
      <c r="G468" s="33"/>
      <c r="H468" s="35"/>
      <c r="I468" s="34"/>
      <c r="J468" s="34"/>
      <c r="K468" s="34"/>
      <c r="L468" s="33"/>
      <c r="M468" s="33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  <c r="AO468" s="34"/>
      <c r="AP468" s="34"/>
      <c r="AQ468" s="34"/>
      <c r="AR468" s="34"/>
      <c r="AS468" s="34"/>
    </row>
    <row r="469" spans="1:45" ht="14.4">
      <c r="A469" s="33"/>
      <c r="B469" s="33"/>
      <c r="C469" s="33"/>
      <c r="D469" s="34"/>
      <c r="E469" s="34"/>
      <c r="F469" s="34"/>
      <c r="G469" s="33"/>
      <c r="H469" s="35"/>
      <c r="I469" s="34"/>
      <c r="J469" s="34"/>
      <c r="K469" s="34"/>
      <c r="L469" s="33"/>
      <c r="M469" s="33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</row>
    <row r="470" spans="1:45" ht="14.4">
      <c r="A470" s="33"/>
      <c r="B470" s="33"/>
      <c r="C470" s="33"/>
      <c r="D470" s="34"/>
      <c r="E470" s="34"/>
      <c r="F470" s="34"/>
      <c r="G470" s="33"/>
      <c r="H470" s="35"/>
      <c r="I470" s="34"/>
      <c r="J470" s="34"/>
      <c r="K470" s="34"/>
      <c r="L470" s="33"/>
      <c r="M470" s="33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</row>
    <row r="471" spans="1:45" ht="14.4">
      <c r="A471" s="33"/>
      <c r="B471" s="33"/>
      <c r="C471" s="33"/>
      <c r="D471" s="34"/>
      <c r="E471" s="34"/>
      <c r="F471" s="34"/>
      <c r="G471" s="33"/>
      <c r="H471" s="35"/>
      <c r="I471" s="34"/>
      <c r="J471" s="34"/>
      <c r="K471" s="34"/>
      <c r="L471" s="33"/>
      <c r="M471" s="33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  <c r="AO471" s="34"/>
      <c r="AP471" s="34"/>
      <c r="AQ471" s="34"/>
      <c r="AR471" s="34"/>
      <c r="AS471" s="34"/>
    </row>
    <row r="472" spans="1:45" ht="14.4">
      <c r="A472" s="33"/>
      <c r="B472" s="33"/>
      <c r="C472" s="33"/>
      <c r="D472" s="34"/>
      <c r="E472" s="34"/>
      <c r="F472" s="34"/>
      <c r="G472" s="33"/>
      <c r="H472" s="35"/>
      <c r="I472" s="34"/>
      <c r="J472" s="34"/>
      <c r="K472" s="34"/>
      <c r="L472" s="33"/>
      <c r="M472" s="33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</row>
    <row r="473" spans="1:45" ht="14.4">
      <c r="A473" s="33"/>
      <c r="B473" s="33"/>
      <c r="C473" s="33"/>
      <c r="D473" s="34"/>
      <c r="E473" s="34"/>
      <c r="F473" s="34"/>
      <c r="G473" s="33"/>
      <c r="H473" s="35"/>
      <c r="I473" s="34"/>
      <c r="J473" s="34"/>
      <c r="K473" s="34"/>
      <c r="L473" s="33"/>
      <c r="M473" s="33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</row>
    <row r="474" spans="1:45" ht="14.4">
      <c r="A474" s="33"/>
      <c r="B474" s="33"/>
      <c r="C474" s="33"/>
      <c r="D474" s="34"/>
      <c r="E474" s="34"/>
      <c r="F474" s="34"/>
      <c r="G474" s="33"/>
      <c r="H474" s="35"/>
      <c r="I474" s="34"/>
      <c r="J474" s="34"/>
      <c r="K474" s="34"/>
      <c r="L474" s="33"/>
      <c r="M474" s="33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</row>
    <row r="475" spans="1:45" ht="14.4">
      <c r="A475" s="33"/>
      <c r="B475" s="33"/>
      <c r="C475" s="33"/>
      <c r="D475" s="34"/>
      <c r="E475" s="34"/>
      <c r="F475" s="34"/>
      <c r="G475" s="33"/>
      <c r="H475" s="35"/>
      <c r="I475" s="34"/>
      <c r="J475" s="34"/>
      <c r="K475" s="34"/>
      <c r="L475" s="33"/>
      <c r="M475" s="33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  <c r="AO475" s="34"/>
      <c r="AP475" s="34"/>
      <c r="AQ475" s="34"/>
      <c r="AR475" s="34"/>
      <c r="AS475" s="34"/>
    </row>
    <row r="476" spans="1:45" ht="14.4">
      <c r="A476" s="33"/>
      <c r="B476" s="33"/>
      <c r="C476" s="33"/>
      <c r="D476" s="34"/>
      <c r="E476" s="34"/>
      <c r="F476" s="34"/>
      <c r="G476" s="33"/>
      <c r="H476" s="35"/>
      <c r="I476" s="34"/>
      <c r="J476" s="34"/>
      <c r="K476" s="34"/>
      <c r="L476" s="33"/>
      <c r="M476" s="33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</row>
    <row r="477" spans="1:45" ht="14.4">
      <c r="A477" s="33"/>
      <c r="B477" s="33"/>
      <c r="C477" s="33"/>
      <c r="D477" s="34"/>
      <c r="E477" s="34"/>
      <c r="F477" s="34"/>
      <c r="G477" s="33"/>
      <c r="H477" s="35"/>
      <c r="I477" s="34"/>
      <c r="J477" s="34"/>
      <c r="K477" s="34"/>
      <c r="L477" s="33"/>
      <c r="M477" s="33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  <c r="AO477" s="34"/>
      <c r="AP477" s="34"/>
      <c r="AQ477" s="34"/>
      <c r="AR477" s="34"/>
      <c r="AS477" s="34"/>
    </row>
    <row r="478" spans="1:45" ht="14.4">
      <c r="A478" s="33"/>
      <c r="B478" s="33"/>
      <c r="C478" s="33"/>
      <c r="D478" s="34"/>
      <c r="E478" s="34"/>
      <c r="F478" s="34"/>
      <c r="G478" s="33"/>
      <c r="H478" s="35"/>
      <c r="I478" s="34"/>
      <c r="J478" s="34"/>
      <c r="K478" s="34"/>
      <c r="L478" s="33"/>
      <c r="M478" s="33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</row>
    <row r="479" spans="1:45" ht="14.4">
      <c r="A479" s="33"/>
      <c r="B479" s="33"/>
      <c r="C479" s="33"/>
      <c r="D479" s="34"/>
      <c r="E479" s="34"/>
      <c r="F479" s="34"/>
      <c r="G479" s="33"/>
      <c r="H479" s="35"/>
      <c r="I479" s="34"/>
      <c r="J479" s="34"/>
      <c r="K479" s="34"/>
      <c r="L479" s="33"/>
      <c r="M479" s="33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  <c r="AO479" s="34"/>
      <c r="AP479" s="34"/>
      <c r="AQ479" s="34"/>
      <c r="AR479" s="34"/>
      <c r="AS479" s="34"/>
    </row>
    <row r="480" spans="1:45" ht="14.4">
      <c r="A480" s="33"/>
      <c r="B480" s="33"/>
      <c r="C480" s="33"/>
      <c r="D480" s="34"/>
      <c r="E480" s="34"/>
      <c r="F480" s="34"/>
      <c r="G480" s="33"/>
      <c r="H480" s="35"/>
      <c r="I480" s="34"/>
      <c r="J480" s="34"/>
      <c r="K480" s="34"/>
      <c r="L480" s="33"/>
      <c r="M480" s="33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</row>
    <row r="481" spans="1:45" ht="14.4">
      <c r="A481" s="33"/>
      <c r="B481" s="33"/>
      <c r="C481" s="33"/>
      <c r="D481" s="34"/>
      <c r="E481" s="34"/>
      <c r="F481" s="34"/>
      <c r="G481" s="33"/>
      <c r="H481" s="35"/>
      <c r="I481" s="34"/>
      <c r="J481" s="34"/>
      <c r="K481" s="34"/>
      <c r="L481" s="33"/>
      <c r="M481" s="33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</row>
    <row r="482" spans="1:45" ht="14.4">
      <c r="A482" s="33"/>
      <c r="B482" s="33"/>
      <c r="C482" s="33"/>
      <c r="D482" s="34"/>
      <c r="E482" s="34"/>
      <c r="F482" s="34"/>
      <c r="G482" s="33"/>
      <c r="H482" s="35"/>
      <c r="I482" s="34"/>
      <c r="J482" s="34"/>
      <c r="K482" s="34"/>
      <c r="L482" s="33"/>
      <c r="M482" s="33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  <c r="AO482" s="34"/>
      <c r="AP482" s="34"/>
      <c r="AQ482" s="34"/>
      <c r="AR482" s="34"/>
      <c r="AS482" s="34"/>
    </row>
    <row r="483" spans="1:45" ht="14.4">
      <c r="A483" s="33"/>
      <c r="B483" s="33"/>
      <c r="C483" s="33"/>
      <c r="D483" s="34"/>
      <c r="E483" s="34"/>
      <c r="F483" s="34"/>
      <c r="G483" s="33"/>
      <c r="H483" s="35"/>
      <c r="I483" s="34"/>
      <c r="J483" s="34"/>
      <c r="K483" s="34"/>
      <c r="L483" s="33"/>
      <c r="M483" s="33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</row>
    <row r="484" spans="1:45" ht="14.4">
      <c r="A484" s="33"/>
      <c r="B484" s="33"/>
      <c r="C484" s="33"/>
      <c r="D484" s="34"/>
      <c r="E484" s="34"/>
      <c r="F484" s="34"/>
      <c r="G484" s="33"/>
      <c r="H484" s="35"/>
      <c r="I484" s="34"/>
      <c r="J484" s="34"/>
      <c r="K484" s="34"/>
      <c r="L484" s="33"/>
      <c r="M484" s="33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</row>
    <row r="485" spans="1:45" ht="14.4">
      <c r="A485" s="33"/>
      <c r="B485" s="33"/>
      <c r="C485" s="33"/>
      <c r="D485" s="34"/>
      <c r="E485" s="34"/>
      <c r="F485" s="34"/>
      <c r="G485" s="33"/>
      <c r="H485" s="35"/>
      <c r="I485" s="34"/>
      <c r="J485" s="34"/>
      <c r="K485" s="34"/>
      <c r="L485" s="33"/>
      <c r="M485" s="33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  <c r="AO485" s="34"/>
      <c r="AP485" s="34"/>
      <c r="AQ485" s="34"/>
      <c r="AR485" s="34"/>
      <c r="AS485" s="34"/>
    </row>
    <row r="486" spans="1:45" ht="14.4">
      <c r="A486" s="33"/>
      <c r="B486" s="33"/>
      <c r="C486" s="33"/>
      <c r="D486" s="34"/>
      <c r="E486" s="34"/>
      <c r="F486" s="34"/>
      <c r="G486" s="33"/>
      <c r="H486" s="35"/>
      <c r="I486" s="34"/>
      <c r="J486" s="34"/>
      <c r="K486" s="34"/>
      <c r="L486" s="33"/>
      <c r="M486" s="33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</row>
    <row r="487" spans="1:45" ht="14.4">
      <c r="A487" s="33"/>
      <c r="B487" s="33"/>
      <c r="C487" s="33"/>
      <c r="D487" s="34"/>
      <c r="E487" s="34"/>
      <c r="F487" s="34"/>
      <c r="G487" s="33"/>
      <c r="H487" s="35"/>
      <c r="I487" s="34"/>
      <c r="J487" s="34"/>
      <c r="K487" s="34"/>
      <c r="L487" s="33"/>
      <c r="M487" s="33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  <c r="AO487" s="34"/>
      <c r="AP487" s="34"/>
      <c r="AQ487" s="34"/>
      <c r="AR487" s="34"/>
      <c r="AS487" s="34"/>
    </row>
    <row r="488" spans="1:45" ht="14.4">
      <c r="A488" s="33"/>
      <c r="B488" s="33"/>
      <c r="C488" s="33"/>
      <c r="D488" s="34"/>
      <c r="E488" s="34"/>
      <c r="F488" s="34"/>
      <c r="G488" s="33"/>
      <c r="H488" s="35"/>
      <c r="I488" s="34"/>
      <c r="J488" s="34"/>
      <c r="K488" s="34"/>
      <c r="L488" s="33"/>
      <c r="M488" s="33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</row>
    <row r="489" spans="1:45" ht="14.4">
      <c r="A489" s="33"/>
      <c r="B489" s="33"/>
      <c r="C489" s="33"/>
      <c r="D489" s="34"/>
      <c r="E489" s="34"/>
      <c r="F489" s="34"/>
      <c r="G489" s="33"/>
      <c r="H489" s="35"/>
      <c r="I489" s="34"/>
      <c r="J489" s="34"/>
      <c r="K489" s="34"/>
      <c r="L489" s="33"/>
      <c r="M489" s="33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</row>
    <row r="490" spans="1:45" ht="14.4">
      <c r="A490" s="33"/>
      <c r="B490" s="33"/>
      <c r="C490" s="33"/>
      <c r="D490" s="34"/>
      <c r="E490" s="34"/>
      <c r="F490" s="34"/>
      <c r="G490" s="33"/>
      <c r="H490" s="35"/>
      <c r="I490" s="34"/>
      <c r="J490" s="34"/>
      <c r="K490" s="34"/>
      <c r="L490" s="33"/>
      <c r="M490" s="33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  <c r="AO490" s="34"/>
      <c r="AP490" s="34"/>
      <c r="AQ490" s="34"/>
      <c r="AR490" s="34"/>
      <c r="AS490" s="34"/>
    </row>
    <row r="491" spans="1:45" ht="14.4">
      <c r="A491" s="33"/>
      <c r="B491" s="33"/>
      <c r="C491" s="33"/>
      <c r="D491" s="34"/>
      <c r="E491" s="34"/>
      <c r="F491" s="34"/>
      <c r="G491" s="33"/>
      <c r="H491" s="35"/>
      <c r="I491" s="34"/>
      <c r="J491" s="34"/>
      <c r="K491" s="34"/>
      <c r="L491" s="33"/>
      <c r="M491" s="33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</row>
    <row r="492" spans="1:45" ht="14.4">
      <c r="A492" s="33"/>
      <c r="B492" s="33"/>
      <c r="C492" s="33"/>
      <c r="D492" s="34"/>
      <c r="E492" s="34"/>
      <c r="F492" s="34"/>
      <c r="G492" s="33"/>
      <c r="H492" s="35"/>
      <c r="I492" s="34"/>
      <c r="J492" s="34"/>
      <c r="K492" s="34"/>
      <c r="L492" s="33"/>
      <c r="M492" s="33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  <c r="AO492" s="34"/>
      <c r="AP492" s="34"/>
      <c r="AQ492" s="34"/>
      <c r="AR492" s="34"/>
      <c r="AS492" s="34"/>
    </row>
    <row r="493" spans="1:45" ht="14.4">
      <c r="A493" s="33"/>
      <c r="B493" s="33"/>
      <c r="C493" s="33"/>
      <c r="D493" s="34"/>
      <c r="E493" s="34"/>
      <c r="F493" s="34"/>
      <c r="G493" s="33"/>
      <c r="H493" s="35"/>
      <c r="I493" s="34"/>
      <c r="J493" s="34"/>
      <c r="K493" s="34"/>
      <c r="L493" s="33"/>
      <c r="M493" s="33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</row>
    <row r="494" spans="1:45" ht="14.4">
      <c r="A494" s="33"/>
      <c r="B494" s="33"/>
      <c r="C494" s="33"/>
      <c r="D494" s="34"/>
      <c r="E494" s="34"/>
      <c r="F494" s="34"/>
      <c r="G494" s="33"/>
      <c r="H494" s="35"/>
      <c r="I494" s="34"/>
      <c r="J494" s="34"/>
      <c r="K494" s="34"/>
      <c r="L494" s="33"/>
      <c r="M494" s="33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</row>
    <row r="495" spans="1:45" ht="14.4">
      <c r="A495" s="33"/>
      <c r="B495" s="33"/>
      <c r="C495" s="33"/>
      <c r="D495" s="34"/>
      <c r="E495" s="34"/>
      <c r="F495" s="34"/>
      <c r="G495" s="33"/>
      <c r="H495" s="35"/>
      <c r="I495" s="34"/>
      <c r="J495" s="34"/>
      <c r="K495" s="34"/>
      <c r="L495" s="33"/>
      <c r="M495" s="33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</row>
    <row r="496" spans="1:45" ht="14.4">
      <c r="A496" s="33"/>
      <c r="B496" s="33"/>
      <c r="C496" s="33"/>
      <c r="D496" s="34"/>
      <c r="E496" s="34"/>
      <c r="F496" s="34"/>
      <c r="G496" s="33"/>
      <c r="H496" s="35"/>
      <c r="I496" s="34"/>
      <c r="J496" s="34"/>
      <c r="K496" s="34"/>
      <c r="L496" s="33"/>
      <c r="M496" s="33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  <c r="AO496" s="34"/>
      <c r="AP496" s="34"/>
      <c r="AQ496" s="34"/>
      <c r="AR496" s="34"/>
      <c r="AS496" s="34"/>
    </row>
    <row r="497" spans="1:45" ht="14.4">
      <c r="A497" s="33"/>
      <c r="B497" s="33"/>
      <c r="C497" s="33"/>
      <c r="D497" s="34"/>
      <c r="E497" s="34"/>
      <c r="F497" s="34"/>
      <c r="G497" s="33"/>
      <c r="H497" s="35"/>
      <c r="I497" s="34"/>
      <c r="J497" s="34"/>
      <c r="K497" s="34"/>
      <c r="L497" s="33"/>
      <c r="M497" s="33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</row>
    <row r="498" spans="1:45" ht="14.4">
      <c r="A498" s="33"/>
      <c r="B498" s="33"/>
      <c r="C498" s="33"/>
      <c r="D498" s="34"/>
      <c r="E498" s="34"/>
      <c r="F498" s="34"/>
      <c r="G498" s="33"/>
      <c r="H498" s="35"/>
      <c r="I498" s="34"/>
      <c r="J498" s="34"/>
      <c r="K498" s="34"/>
      <c r="L498" s="33"/>
      <c r="M498" s="33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  <c r="AQ498" s="34"/>
      <c r="AR498" s="34"/>
      <c r="AS498" s="34"/>
    </row>
    <row r="499" spans="1:45" ht="14.4">
      <c r="A499" s="33"/>
      <c r="B499" s="33"/>
      <c r="C499" s="33"/>
      <c r="D499" s="34"/>
      <c r="E499" s="34"/>
      <c r="F499" s="34"/>
      <c r="G499" s="33"/>
      <c r="H499" s="35"/>
      <c r="I499" s="34"/>
      <c r="J499" s="34"/>
      <c r="K499" s="34"/>
      <c r="L499" s="33"/>
      <c r="M499" s="33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</row>
    <row r="500" spans="1:45" ht="14.4">
      <c r="A500" s="33"/>
      <c r="B500" s="33"/>
      <c r="C500" s="33"/>
      <c r="D500" s="34"/>
      <c r="E500" s="34"/>
      <c r="F500" s="34"/>
      <c r="G500" s="33"/>
      <c r="H500" s="35"/>
      <c r="I500" s="34"/>
      <c r="J500" s="34"/>
      <c r="K500" s="34"/>
      <c r="L500" s="33"/>
      <c r="M500" s="33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  <c r="AQ500" s="34"/>
      <c r="AR500" s="34"/>
      <c r="AS500" s="34"/>
    </row>
    <row r="501" spans="1:45" ht="14.4">
      <c r="A501" s="33"/>
      <c r="B501" s="33"/>
      <c r="C501" s="33"/>
      <c r="D501" s="34"/>
      <c r="E501" s="34"/>
      <c r="F501" s="34"/>
      <c r="G501" s="33"/>
      <c r="H501" s="35"/>
      <c r="I501" s="34"/>
      <c r="J501" s="34"/>
      <c r="K501" s="34"/>
      <c r="L501" s="33"/>
      <c r="M501" s="33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</row>
    <row r="502" spans="1:45" ht="14.4">
      <c r="A502" s="33"/>
      <c r="B502" s="33"/>
      <c r="C502" s="33"/>
      <c r="D502" s="34"/>
      <c r="E502" s="34"/>
      <c r="F502" s="34"/>
      <c r="G502" s="33"/>
      <c r="H502" s="35"/>
      <c r="I502" s="34"/>
      <c r="J502" s="34"/>
      <c r="K502" s="34"/>
      <c r="L502" s="33"/>
      <c r="M502" s="33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</row>
    <row r="503" spans="1:45" ht="14.4">
      <c r="A503" s="33"/>
      <c r="B503" s="33"/>
      <c r="C503" s="33"/>
      <c r="D503" s="34"/>
      <c r="E503" s="34"/>
      <c r="F503" s="34"/>
      <c r="G503" s="33"/>
      <c r="H503" s="35"/>
      <c r="I503" s="34"/>
      <c r="J503" s="34"/>
      <c r="K503" s="34"/>
      <c r="L503" s="33"/>
      <c r="M503" s="33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</row>
    <row r="504" spans="1:45" ht="14.4">
      <c r="A504" s="33"/>
      <c r="B504" s="33"/>
      <c r="C504" s="33"/>
      <c r="D504" s="34"/>
      <c r="E504" s="34"/>
      <c r="F504" s="34"/>
      <c r="G504" s="33"/>
      <c r="H504" s="35"/>
      <c r="I504" s="34"/>
      <c r="J504" s="34"/>
      <c r="K504" s="34"/>
      <c r="L504" s="33"/>
      <c r="M504" s="33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</row>
    <row r="505" spans="1:45" ht="14.4">
      <c r="A505" s="33"/>
      <c r="B505" s="33"/>
      <c r="C505" s="33"/>
      <c r="D505" s="34"/>
      <c r="E505" s="34"/>
      <c r="F505" s="34"/>
      <c r="G505" s="33"/>
      <c r="H505" s="35"/>
      <c r="I505" s="34"/>
      <c r="J505" s="34"/>
      <c r="K505" s="34"/>
      <c r="L505" s="33"/>
      <c r="M505" s="33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  <c r="AO505" s="34"/>
      <c r="AP505" s="34"/>
      <c r="AQ505" s="34"/>
      <c r="AR505" s="34"/>
      <c r="AS505" s="34"/>
    </row>
    <row r="506" spans="1:45" ht="14.4">
      <c r="A506" s="33"/>
      <c r="B506" s="33"/>
      <c r="C506" s="33"/>
      <c r="D506" s="34"/>
      <c r="E506" s="34"/>
      <c r="F506" s="34"/>
      <c r="G506" s="33"/>
      <c r="H506" s="35"/>
      <c r="I506" s="34"/>
      <c r="J506" s="34"/>
      <c r="K506" s="34"/>
      <c r="L506" s="33"/>
      <c r="M506" s="33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</row>
    <row r="507" spans="1:45" ht="14.4">
      <c r="A507" s="33"/>
      <c r="B507" s="33"/>
      <c r="C507" s="33"/>
      <c r="D507" s="34"/>
      <c r="E507" s="34"/>
      <c r="F507" s="34"/>
      <c r="G507" s="33"/>
      <c r="H507" s="35"/>
      <c r="I507" s="34"/>
      <c r="J507" s="34"/>
      <c r="K507" s="34"/>
      <c r="L507" s="33"/>
      <c r="M507" s="33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</row>
    <row r="508" spans="1:45" ht="14.4">
      <c r="A508" s="33"/>
      <c r="B508" s="33"/>
      <c r="C508" s="33"/>
      <c r="D508" s="34"/>
      <c r="E508" s="34"/>
      <c r="F508" s="34"/>
      <c r="G508" s="33"/>
      <c r="H508" s="35"/>
      <c r="I508" s="34"/>
      <c r="J508" s="34"/>
      <c r="K508" s="34"/>
      <c r="L508" s="33"/>
      <c r="M508" s="33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  <c r="AO508" s="34"/>
      <c r="AP508" s="34"/>
      <c r="AQ508" s="34"/>
      <c r="AR508" s="34"/>
      <c r="AS508" s="34"/>
    </row>
    <row r="509" spans="1:45" ht="14.4">
      <c r="A509" s="33"/>
      <c r="B509" s="33"/>
      <c r="C509" s="33"/>
      <c r="D509" s="34"/>
      <c r="E509" s="34"/>
      <c r="F509" s="34"/>
      <c r="G509" s="33"/>
      <c r="H509" s="35"/>
      <c r="I509" s="34"/>
      <c r="J509" s="34"/>
      <c r="K509" s="34"/>
      <c r="L509" s="33"/>
      <c r="M509" s="33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</row>
    <row r="510" spans="1:45" ht="14.4">
      <c r="A510" s="33"/>
      <c r="B510" s="33"/>
      <c r="C510" s="33"/>
      <c r="D510" s="34"/>
      <c r="E510" s="34"/>
      <c r="F510" s="34"/>
      <c r="G510" s="33"/>
      <c r="H510" s="35"/>
      <c r="I510" s="34"/>
      <c r="J510" s="34"/>
      <c r="K510" s="34"/>
      <c r="L510" s="33"/>
      <c r="M510" s="33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</row>
    <row r="511" spans="1:45" ht="14.4">
      <c r="A511" s="33"/>
      <c r="B511" s="33"/>
      <c r="C511" s="33"/>
      <c r="D511" s="34"/>
      <c r="E511" s="34"/>
      <c r="F511" s="34"/>
      <c r="G511" s="33"/>
      <c r="H511" s="35"/>
      <c r="I511" s="34"/>
      <c r="J511" s="34"/>
      <c r="K511" s="34"/>
      <c r="L511" s="33"/>
      <c r="M511" s="33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</row>
    <row r="512" spans="1:45" ht="14.4">
      <c r="A512" s="33"/>
      <c r="B512" s="33"/>
      <c r="C512" s="33"/>
      <c r="D512" s="34"/>
      <c r="E512" s="34"/>
      <c r="F512" s="34"/>
      <c r="G512" s="33"/>
      <c r="H512" s="35"/>
      <c r="I512" s="34"/>
      <c r="J512" s="34"/>
      <c r="K512" s="34"/>
      <c r="L512" s="33"/>
      <c r="M512" s="33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  <c r="AQ512" s="34"/>
      <c r="AR512" s="34"/>
      <c r="AS512" s="34"/>
    </row>
    <row r="513" spans="1:45" ht="14.4">
      <c r="A513" s="33"/>
      <c r="B513" s="33"/>
      <c r="C513" s="33"/>
      <c r="D513" s="34"/>
      <c r="E513" s="34"/>
      <c r="F513" s="34"/>
      <c r="G513" s="33"/>
      <c r="H513" s="35"/>
      <c r="I513" s="34"/>
      <c r="J513" s="34"/>
      <c r="K513" s="34"/>
      <c r="L513" s="33"/>
      <c r="M513" s="33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</row>
    <row r="514" spans="1:45" ht="14.4">
      <c r="A514" s="33"/>
      <c r="B514" s="33"/>
      <c r="C514" s="33"/>
      <c r="D514" s="34"/>
      <c r="E514" s="34"/>
      <c r="F514" s="34"/>
      <c r="G514" s="33"/>
      <c r="H514" s="35"/>
      <c r="I514" s="34"/>
      <c r="J514" s="34"/>
      <c r="K514" s="34"/>
      <c r="L514" s="33"/>
      <c r="M514" s="33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</row>
    <row r="515" spans="1:45" ht="14.4">
      <c r="A515" s="33"/>
      <c r="B515" s="33"/>
      <c r="C515" s="33"/>
      <c r="D515" s="34"/>
      <c r="E515" s="34"/>
      <c r="F515" s="34"/>
      <c r="G515" s="33"/>
      <c r="H515" s="35"/>
      <c r="I515" s="34"/>
      <c r="J515" s="34"/>
      <c r="K515" s="34"/>
      <c r="L515" s="33"/>
      <c r="M515" s="33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</row>
    <row r="516" spans="1:45" ht="14.4">
      <c r="A516" s="33"/>
      <c r="B516" s="33"/>
      <c r="C516" s="33"/>
      <c r="D516" s="34"/>
      <c r="E516" s="34"/>
      <c r="F516" s="34"/>
      <c r="G516" s="33"/>
      <c r="H516" s="35"/>
      <c r="I516" s="34"/>
      <c r="J516" s="34"/>
      <c r="K516" s="34"/>
      <c r="L516" s="33"/>
      <c r="M516" s="33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  <c r="AQ516" s="34"/>
      <c r="AR516" s="34"/>
      <c r="AS516" s="34"/>
    </row>
    <row r="517" spans="1:45" ht="14.4">
      <c r="A517" s="33"/>
      <c r="B517" s="33"/>
      <c r="C517" s="33"/>
      <c r="D517" s="34"/>
      <c r="E517" s="34"/>
      <c r="F517" s="34"/>
      <c r="G517" s="33"/>
      <c r="H517" s="35"/>
      <c r="I517" s="34"/>
      <c r="J517" s="34"/>
      <c r="K517" s="34"/>
      <c r="L517" s="33"/>
      <c r="M517" s="33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</row>
    <row r="518" spans="1:45" ht="14.4">
      <c r="A518" s="33"/>
      <c r="B518" s="33"/>
      <c r="C518" s="33"/>
      <c r="D518" s="34"/>
      <c r="E518" s="34"/>
      <c r="F518" s="34"/>
      <c r="G518" s="33"/>
      <c r="H518" s="35"/>
      <c r="I518" s="34"/>
      <c r="J518" s="34"/>
      <c r="K518" s="34"/>
      <c r="L518" s="33"/>
      <c r="M518" s="33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</row>
    <row r="519" spans="1:45" ht="14.4">
      <c r="A519" s="33"/>
      <c r="B519" s="33"/>
      <c r="C519" s="33"/>
      <c r="D519" s="34"/>
      <c r="E519" s="34"/>
      <c r="F519" s="34"/>
      <c r="G519" s="33"/>
      <c r="H519" s="35"/>
      <c r="I519" s="34"/>
      <c r="J519" s="34"/>
      <c r="K519" s="34"/>
      <c r="L519" s="33"/>
      <c r="M519" s="33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</row>
    <row r="520" spans="1:45" ht="14.4">
      <c r="A520" s="33"/>
      <c r="B520" s="33"/>
      <c r="C520" s="33"/>
      <c r="D520" s="34"/>
      <c r="E520" s="34"/>
      <c r="F520" s="34"/>
      <c r="G520" s="33"/>
      <c r="H520" s="35"/>
      <c r="I520" s="34"/>
      <c r="J520" s="34"/>
      <c r="K520" s="34"/>
      <c r="L520" s="33"/>
      <c r="M520" s="33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  <c r="AQ520" s="34"/>
      <c r="AR520" s="34"/>
      <c r="AS520" s="34"/>
    </row>
    <row r="521" spans="1:45" ht="14.4">
      <c r="A521" s="33"/>
      <c r="B521" s="33"/>
      <c r="C521" s="33"/>
      <c r="D521" s="34"/>
      <c r="E521" s="34"/>
      <c r="F521" s="34"/>
      <c r="G521" s="33"/>
      <c r="H521" s="35"/>
      <c r="I521" s="34"/>
      <c r="J521" s="34"/>
      <c r="K521" s="34"/>
      <c r="L521" s="33"/>
      <c r="M521" s="33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</row>
    <row r="522" spans="1:45" ht="14.4">
      <c r="A522" s="33"/>
      <c r="B522" s="33"/>
      <c r="C522" s="33"/>
      <c r="D522" s="34"/>
      <c r="E522" s="34"/>
      <c r="F522" s="34"/>
      <c r="G522" s="33"/>
      <c r="H522" s="35"/>
      <c r="I522" s="34"/>
      <c r="J522" s="34"/>
      <c r="K522" s="34"/>
      <c r="L522" s="33"/>
      <c r="M522" s="33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</row>
    <row r="523" spans="1:45" ht="14.4">
      <c r="A523" s="33"/>
      <c r="B523" s="33"/>
      <c r="C523" s="33"/>
      <c r="D523" s="34"/>
      <c r="E523" s="34"/>
      <c r="F523" s="34"/>
      <c r="G523" s="33"/>
      <c r="H523" s="35"/>
      <c r="I523" s="34"/>
      <c r="J523" s="34"/>
      <c r="K523" s="34"/>
      <c r="L523" s="33"/>
      <c r="M523" s="33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  <c r="AO523" s="34"/>
      <c r="AP523" s="34"/>
      <c r="AQ523" s="34"/>
      <c r="AR523" s="34"/>
      <c r="AS523" s="34"/>
    </row>
    <row r="524" spans="1:45" ht="14.4">
      <c r="A524" s="33"/>
      <c r="B524" s="33"/>
      <c r="C524" s="33"/>
      <c r="D524" s="34"/>
      <c r="E524" s="34"/>
      <c r="F524" s="34"/>
      <c r="G524" s="33"/>
      <c r="H524" s="35"/>
      <c r="I524" s="34"/>
      <c r="J524" s="34"/>
      <c r="K524" s="34"/>
      <c r="L524" s="33"/>
      <c r="M524" s="33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</row>
    <row r="525" spans="1:45" ht="14.4">
      <c r="A525" s="33"/>
      <c r="B525" s="33"/>
      <c r="C525" s="33"/>
      <c r="D525" s="34"/>
      <c r="E525" s="34"/>
      <c r="F525" s="34"/>
      <c r="G525" s="33"/>
      <c r="H525" s="35"/>
      <c r="I525" s="34"/>
      <c r="J525" s="34"/>
      <c r="K525" s="34"/>
      <c r="L525" s="33"/>
      <c r="M525" s="33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</row>
    <row r="526" spans="1:45" ht="14.4">
      <c r="A526" s="33"/>
      <c r="B526" s="33"/>
      <c r="C526" s="33"/>
      <c r="D526" s="34"/>
      <c r="E526" s="34"/>
      <c r="F526" s="34"/>
      <c r="G526" s="33"/>
      <c r="H526" s="35"/>
      <c r="I526" s="34"/>
      <c r="J526" s="34"/>
      <c r="K526" s="34"/>
      <c r="L526" s="33"/>
      <c r="M526" s="33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  <c r="AO526" s="34"/>
      <c r="AP526" s="34"/>
      <c r="AQ526" s="34"/>
      <c r="AR526" s="34"/>
      <c r="AS526" s="34"/>
    </row>
    <row r="527" spans="1:45" ht="14.4">
      <c r="A527" s="33"/>
      <c r="B527" s="33"/>
      <c r="C527" s="33"/>
      <c r="D527" s="34"/>
      <c r="E527" s="34"/>
      <c r="F527" s="34"/>
      <c r="G527" s="33"/>
      <c r="H527" s="35"/>
      <c r="I527" s="34"/>
      <c r="J527" s="34"/>
      <c r="K527" s="34"/>
      <c r="L527" s="33"/>
      <c r="M527" s="33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</row>
    <row r="528" spans="1:45" ht="14.4">
      <c r="A528" s="33"/>
      <c r="B528" s="33"/>
      <c r="C528" s="33"/>
      <c r="D528" s="34"/>
      <c r="E528" s="34"/>
      <c r="F528" s="34"/>
      <c r="G528" s="33"/>
      <c r="H528" s="35"/>
      <c r="I528" s="34"/>
      <c r="J528" s="34"/>
      <c r="K528" s="34"/>
      <c r="L528" s="33"/>
      <c r="M528" s="33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  <c r="AQ528" s="34"/>
      <c r="AR528" s="34"/>
      <c r="AS528" s="34"/>
    </row>
    <row r="529" spans="1:45" ht="14.4">
      <c r="A529" s="33"/>
      <c r="B529" s="33"/>
      <c r="C529" s="33"/>
      <c r="D529" s="34"/>
      <c r="E529" s="34"/>
      <c r="F529" s="34"/>
      <c r="G529" s="33"/>
      <c r="H529" s="35"/>
      <c r="I529" s="34"/>
      <c r="J529" s="34"/>
      <c r="K529" s="34"/>
      <c r="L529" s="33"/>
      <c r="M529" s="33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</row>
    <row r="530" spans="1:45" ht="14.4">
      <c r="A530" s="33"/>
      <c r="B530" s="33"/>
      <c r="C530" s="33"/>
      <c r="D530" s="34"/>
      <c r="E530" s="34"/>
      <c r="F530" s="34"/>
      <c r="G530" s="33"/>
      <c r="H530" s="35"/>
      <c r="I530" s="34"/>
      <c r="J530" s="34"/>
      <c r="K530" s="34"/>
      <c r="L530" s="33"/>
      <c r="M530" s="33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</row>
    <row r="531" spans="1:45" ht="14.4">
      <c r="A531" s="33"/>
      <c r="B531" s="33"/>
      <c r="C531" s="33"/>
      <c r="D531" s="34"/>
      <c r="E531" s="34"/>
      <c r="F531" s="34"/>
      <c r="G531" s="33"/>
      <c r="H531" s="35"/>
      <c r="I531" s="34"/>
      <c r="J531" s="34"/>
      <c r="K531" s="34"/>
      <c r="L531" s="33"/>
      <c r="M531" s="33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</row>
    <row r="532" spans="1:45" ht="14.4">
      <c r="A532" s="33"/>
      <c r="B532" s="33"/>
      <c r="C532" s="33"/>
      <c r="D532" s="34"/>
      <c r="E532" s="34"/>
      <c r="F532" s="34"/>
      <c r="G532" s="33"/>
      <c r="H532" s="35"/>
      <c r="I532" s="34"/>
      <c r="J532" s="34"/>
      <c r="K532" s="34"/>
      <c r="L532" s="33"/>
      <c r="M532" s="33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  <c r="AO532" s="34"/>
      <c r="AP532" s="34"/>
      <c r="AQ532" s="34"/>
      <c r="AR532" s="34"/>
      <c r="AS532" s="34"/>
    </row>
    <row r="533" spans="1:45" ht="14.4">
      <c r="A533" s="33"/>
      <c r="B533" s="33"/>
      <c r="C533" s="33"/>
      <c r="D533" s="34"/>
      <c r="E533" s="34"/>
      <c r="F533" s="34"/>
      <c r="G533" s="33"/>
      <c r="H533" s="35"/>
      <c r="I533" s="34"/>
      <c r="J533" s="34"/>
      <c r="K533" s="34"/>
      <c r="L533" s="33"/>
      <c r="M533" s="33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  <c r="AO533" s="34"/>
      <c r="AP533" s="34"/>
      <c r="AQ533" s="34"/>
      <c r="AR533" s="34"/>
      <c r="AS533" s="34"/>
    </row>
    <row r="534" spans="1:45" ht="14.4">
      <c r="A534" s="33"/>
      <c r="B534" s="33"/>
      <c r="C534" s="33"/>
      <c r="D534" s="34"/>
      <c r="E534" s="34"/>
      <c r="F534" s="34"/>
      <c r="G534" s="33"/>
      <c r="H534" s="35"/>
      <c r="I534" s="34"/>
      <c r="J534" s="34"/>
      <c r="K534" s="34"/>
      <c r="L534" s="33"/>
      <c r="M534" s="33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</row>
    <row r="535" spans="1:45" ht="14.4">
      <c r="A535" s="33"/>
      <c r="B535" s="33"/>
      <c r="C535" s="33"/>
      <c r="D535" s="34"/>
      <c r="E535" s="34"/>
      <c r="F535" s="34"/>
      <c r="G535" s="33"/>
      <c r="H535" s="35"/>
      <c r="I535" s="34"/>
      <c r="J535" s="34"/>
      <c r="K535" s="34"/>
      <c r="L535" s="33"/>
      <c r="M535" s="33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  <c r="AO535" s="34"/>
      <c r="AP535" s="34"/>
      <c r="AQ535" s="34"/>
      <c r="AR535" s="34"/>
      <c r="AS535" s="34"/>
    </row>
    <row r="536" spans="1:45" ht="14.4">
      <c r="A536" s="33"/>
      <c r="B536" s="33"/>
      <c r="C536" s="33"/>
      <c r="D536" s="34"/>
      <c r="E536" s="34"/>
      <c r="F536" s="34"/>
      <c r="G536" s="33"/>
      <c r="H536" s="35"/>
      <c r="I536" s="34"/>
      <c r="J536" s="34"/>
      <c r="K536" s="34"/>
      <c r="L536" s="33"/>
      <c r="M536" s="33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  <c r="AQ536" s="34"/>
      <c r="AR536" s="34"/>
      <c r="AS536" s="34"/>
    </row>
    <row r="537" spans="1:45" ht="14.4">
      <c r="A537" s="33"/>
      <c r="B537" s="33"/>
      <c r="C537" s="33"/>
      <c r="D537" s="34"/>
      <c r="E537" s="34"/>
      <c r="F537" s="34"/>
      <c r="G537" s="33"/>
      <c r="H537" s="35"/>
      <c r="I537" s="34"/>
      <c r="J537" s="34"/>
      <c r="K537" s="34"/>
      <c r="L537" s="33"/>
      <c r="M537" s="33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</row>
    <row r="538" spans="1:45" ht="14.4">
      <c r="A538" s="33"/>
      <c r="B538" s="33"/>
      <c r="C538" s="33"/>
      <c r="D538" s="34"/>
      <c r="E538" s="34"/>
      <c r="F538" s="34"/>
      <c r="G538" s="33"/>
      <c r="H538" s="35"/>
      <c r="I538" s="34"/>
      <c r="J538" s="34"/>
      <c r="K538" s="34"/>
      <c r="L538" s="33"/>
      <c r="M538" s="33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</row>
    <row r="539" spans="1:45" ht="14.4">
      <c r="A539" s="33"/>
      <c r="B539" s="33"/>
      <c r="C539" s="33"/>
      <c r="D539" s="34"/>
      <c r="E539" s="34"/>
      <c r="F539" s="34"/>
      <c r="G539" s="33"/>
      <c r="H539" s="35"/>
      <c r="I539" s="34"/>
      <c r="J539" s="34"/>
      <c r="K539" s="34"/>
      <c r="L539" s="33"/>
      <c r="M539" s="33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</row>
    <row r="540" spans="1:45" ht="14.4">
      <c r="A540" s="33"/>
      <c r="B540" s="33"/>
      <c r="C540" s="33"/>
      <c r="D540" s="34"/>
      <c r="E540" s="34"/>
      <c r="F540" s="34"/>
      <c r="G540" s="33"/>
      <c r="H540" s="35"/>
      <c r="I540" s="34"/>
      <c r="J540" s="34"/>
      <c r="K540" s="34"/>
      <c r="L540" s="33"/>
      <c r="M540" s="33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  <c r="AQ540" s="34"/>
      <c r="AR540" s="34"/>
      <c r="AS540" s="34"/>
    </row>
    <row r="541" spans="1:45" ht="14.4">
      <c r="A541" s="33"/>
      <c r="B541" s="33"/>
      <c r="C541" s="33"/>
      <c r="D541" s="34"/>
      <c r="E541" s="34"/>
      <c r="F541" s="34"/>
      <c r="G541" s="33"/>
      <c r="H541" s="35"/>
      <c r="I541" s="34"/>
      <c r="J541" s="34"/>
      <c r="K541" s="34"/>
      <c r="L541" s="33"/>
      <c r="M541" s="33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</row>
    <row r="542" spans="1:45" ht="14.4">
      <c r="A542" s="33"/>
      <c r="B542" s="33"/>
      <c r="C542" s="33"/>
      <c r="D542" s="34"/>
      <c r="E542" s="34"/>
      <c r="F542" s="34"/>
      <c r="G542" s="33"/>
      <c r="H542" s="35"/>
      <c r="I542" s="34"/>
      <c r="J542" s="34"/>
      <c r="K542" s="34"/>
      <c r="L542" s="33"/>
      <c r="M542" s="33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</row>
    <row r="543" spans="1:45" ht="14.4">
      <c r="A543" s="33"/>
      <c r="B543" s="33"/>
      <c r="C543" s="33"/>
      <c r="D543" s="34"/>
      <c r="E543" s="34"/>
      <c r="F543" s="34"/>
      <c r="G543" s="33"/>
      <c r="H543" s="35"/>
      <c r="I543" s="34"/>
      <c r="J543" s="34"/>
      <c r="K543" s="34"/>
      <c r="L543" s="33"/>
      <c r="M543" s="33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  <c r="AQ543" s="34"/>
      <c r="AR543" s="34"/>
      <c r="AS543" s="34"/>
    </row>
    <row r="544" spans="1:45" ht="14.4">
      <c r="A544" s="33"/>
      <c r="B544" s="33"/>
      <c r="C544" s="33"/>
      <c r="D544" s="34"/>
      <c r="E544" s="34"/>
      <c r="F544" s="34"/>
      <c r="G544" s="33"/>
      <c r="H544" s="35"/>
      <c r="I544" s="34"/>
      <c r="J544" s="34"/>
      <c r="K544" s="34"/>
      <c r="L544" s="33"/>
      <c r="M544" s="33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</row>
    <row r="545" spans="1:45" ht="14.4">
      <c r="A545" s="33"/>
      <c r="B545" s="33"/>
      <c r="C545" s="33"/>
      <c r="D545" s="34"/>
      <c r="E545" s="34"/>
      <c r="F545" s="34"/>
      <c r="G545" s="33"/>
      <c r="H545" s="35"/>
      <c r="I545" s="34"/>
      <c r="J545" s="34"/>
      <c r="K545" s="34"/>
      <c r="L545" s="33"/>
      <c r="M545" s="33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</row>
    <row r="546" spans="1:45" ht="14.4">
      <c r="A546" s="33"/>
      <c r="B546" s="33"/>
      <c r="C546" s="33"/>
      <c r="D546" s="34"/>
      <c r="E546" s="34"/>
      <c r="F546" s="34"/>
      <c r="G546" s="33"/>
      <c r="H546" s="35"/>
      <c r="I546" s="34"/>
      <c r="J546" s="34"/>
      <c r="K546" s="34"/>
      <c r="L546" s="33"/>
      <c r="M546" s="33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  <c r="AO546" s="34"/>
      <c r="AP546" s="34"/>
      <c r="AQ546" s="34"/>
      <c r="AR546" s="34"/>
      <c r="AS546" s="34"/>
    </row>
    <row r="547" spans="1:45" ht="14.4">
      <c r="A547" s="33"/>
      <c r="B547" s="33"/>
      <c r="C547" s="33"/>
      <c r="D547" s="34"/>
      <c r="E547" s="34"/>
      <c r="F547" s="34"/>
      <c r="G547" s="33"/>
      <c r="H547" s="35"/>
      <c r="I547" s="34"/>
      <c r="J547" s="34"/>
      <c r="K547" s="34"/>
      <c r="L547" s="33"/>
      <c r="M547" s="33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</row>
    <row r="548" spans="1:45" ht="14.4">
      <c r="A548" s="33"/>
      <c r="B548" s="33"/>
      <c r="C548" s="33"/>
      <c r="D548" s="34"/>
      <c r="E548" s="34"/>
      <c r="F548" s="34"/>
      <c r="G548" s="33"/>
      <c r="H548" s="35"/>
      <c r="I548" s="34"/>
      <c r="J548" s="34"/>
      <c r="K548" s="34"/>
      <c r="L548" s="33"/>
      <c r="M548" s="33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</row>
    <row r="549" spans="1:45" ht="14.4">
      <c r="A549" s="33"/>
      <c r="B549" s="33"/>
      <c r="C549" s="33"/>
      <c r="D549" s="34"/>
      <c r="E549" s="34"/>
      <c r="F549" s="34"/>
      <c r="G549" s="33"/>
      <c r="H549" s="35"/>
      <c r="I549" s="34"/>
      <c r="J549" s="34"/>
      <c r="K549" s="34"/>
      <c r="L549" s="33"/>
      <c r="M549" s="33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</row>
    <row r="550" spans="1:45" ht="14.4">
      <c r="A550" s="33"/>
      <c r="B550" s="33"/>
      <c r="C550" s="33"/>
      <c r="D550" s="34"/>
      <c r="E550" s="34"/>
      <c r="F550" s="34"/>
      <c r="G550" s="33"/>
      <c r="H550" s="35"/>
      <c r="I550" s="34"/>
      <c r="J550" s="34"/>
      <c r="K550" s="34"/>
      <c r="L550" s="33"/>
      <c r="M550" s="33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</row>
    <row r="551" spans="1:45" ht="14.4">
      <c r="A551" s="33"/>
      <c r="B551" s="33"/>
      <c r="C551" s="33"/>
      <c r="D551" s="34"/>
      <c r="E551" s="34"/>
      <c r="F551" s="34"/>
      <c r="G551" s="33"/>
      <c r="H551" s="35"/>
      <c r="I551" s="34"/>
      <c r="J551" s="34"/>
      <c r="K551" s="34"/>
      <c r="L551" s="33"/>
      <c r="M551" s="33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  <c r="AO551" s="34"/>
      <c r="AP551" s="34"/>
      <c r="AQ551" s="34"/>
      <c r="AR551" s="34"/>
      <c r="AS551" s="34"/>
    </row>
    <row r="552" spans="1:45" ht="14.4">
      <c r="A552" s="33"/>
      <c r="B552" s="33"/>
      <c r="C552" s="33"/>
      <c r="D552" s="34"/>
      <c r="E552" s="34"/>
      <c r="F552" s="34"/>
      <c r="G552" s="33"/>
      <c r="H552" s="35"/>
      <c r="I552" s="34"/>
      <c r="J552" s="34"/>
      <c r="K552" s="34"/>
      <c r="L552" s="33"/>
      <c r="M552" s="33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</row>
    <row r="553" spans="1:45" ht="14.4">
      <c r="A553" s="33"/>
      <c r="B553" s="33"/>
      <c r="C553" s="33"/>
      <c r="D553" s="34"/>
      <c r="E553" s="34"/>
      <c r="F553" s="34"/>
      <c r="G553" s="33"/>
      <c r="H553" s="35"/>
      <c r="I553" s="34"/>
      <c r="J553" s="34"/>
      <c r="K553" s="34"/>
      <c r="L553" s="33"/>
      <c r="M553" s="33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</row>
    <row r="554" spans="1:45" ht="14.4">
      <c r="A554" s="33"/>
      <c r="B554" s="33"/>
      <c r="C554" s="33"/>
      <c r="D554" s="34"/>
      <c r="E554" s="34"/>
      <c r="F554" s="34"/>
      <c r="G554" s="33"/>
      <c r="H554" s="35"/>
      <c r="I554" s="34"/>
      <c r="J554" s="34"/>
      <c r="K554" s="34"/>
      <c r="L554" s="33"/>
      <c r="M554" s="33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  <c r="AQ554" s="34"/>
      <c r="AR554" s="34"/>
      <c r="AS554" s="34"/>
    </row>
    <row r="555" spans="1:45" ht="14.4">
      <c r="A555" s="33"/>
      <c r="B555" s="33"/>
      <c r="C555" s="33"/>
      <c r="D555" s="34"/>
      <c r="E555" s="34"/>
      <c r="F555" s="34"/>
      <c r="G555" s="33"/>
      <c r="H555" s="35"/>
      <c r="I555" s="34"/>
      <c r="J555" s="34"/>
      <c r="K555" s="34"/>
      <c r="L555" s="33"/>
      <c r="M555" s="33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</row>
    <row r="556" spans="1:45" ht="14.4">
      <c r="A556" s="33"/>
      <c r="B556" s="33"/>
      <c r="C556" s="33"/>
      <c r="D556" s="34"/>
      <c r="E556" s="34"/>
      <c r="F556" s="34"/>
      <c r="G556" s="33"/>
      <c r="H556" s="35"/>
      <c r="I556" s="34"/>
      <c r="J556" s="34"/>
      <c r="K556" s="34"/>
      <c r="L556" s="33"/>
      <c r="M556" s="33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</row>
    <row r="557" spans="1:45" ht="14.4">
      <c r="A557" s="33"/>
      <c r="B557" s="33"/>
      <c r="C557" s="33"/>
      <c r="D557" s="34"/>
      <c r="E557" s="34"/>
      <c r="F557" s="34"/>
      <c r="G557" s="33"/>
      <c r="H557" s="35"/>
      <c r="I557" s="34"/>
      <c r="J557" s="34"/>
      <c r="K557" s="34"/>
      <c r="L557" s="33"/>
      <c r="M557" s="33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  <c r="AQ557" s="34"/>
      <c r="AR557" s="34"/>
      <c r="AS557" s="34"/>
    </row>
    <row r="558" spans="1:45" ht="14.4">
      <c r="A558" s="33"/>
      <c r="B558" s="33"/>
      <c r="C558" s="33"/>
      <c r="D558" s="34"/>
      <c r="E558" s="34"/>
      <c r="F558" s="34"/>
      <c r="G558" s="33"/>
      <c r="H558" s="35"/>
      <c r="I558" s="34"/>
      <c r="J558" s="34"/>
      <c r="K558" s="34"/>
      <c r="L558" s="33"/>
      <c r="M558" s="33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</row>
    <row r="559" spans="1:45" ht="14.4">
      <c r="A559" s="33"/>
      <c r="B559" s="33"/>
      <c r="C559" s="33"/>
      <c r="D559" s="34"/>
      <c r="E559" s="34"/>
      <c r="F559" s="34"/>
      <c r="G559" s="33"/>
      <c r="H559" s="35"/>
      <c r="I559" s="34"/>
      <c r="J559" s="34"/>
      <c r="K559" s="34"/>
      <c r="L559" s="33"/>
      <c r="M559" s="33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</row>
    <row r="560" spans="1:45" ht="14.4">
      <c r="A560" s="33"/>
      <c r="B560" s="33"/>
      <c r="C560" s="33"/>
      <c r="D560" s="34"/>
      <c r="E560" s="34"/>
      <c r="F560" s="34"/>
      <c r="G560" s="33"/>
      <c r="H560" s="35"/>
      <c r="I560" s="34"/>
      <c r="J560" s="34"/>
      <c r="K560" s="34"/>
      <c r="L560" s="33"/>
      <c r="M560" s="33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  <c r="AO560" s="34"/>
      <c r="AP560" s="34"/>
      <c r="AQ560" s="34"/>
      <c r="AR560" s="34"/>
      <c r="AS560" s="34"/>
    </row>
    <row r="561" spans="1:45" ht="14.4">
      <c r="A561" s="33"/>
      <c r="B561" s="33"/>
      <c r="C561" s="33"/>
      <c r="D561" s="34"/>
      <c r="E561" s="34"/>
      <c r="F561" s="34"/>
      <c r="G561" s="33"/>
      <c r="H561" s="35"/>
      <c r="I561" s="34"/>
      <c r="J561" s="34"/>
      <c r="K561" s="34"/>
      <c r="L561" s="33"/>
      <c r="M561" s="33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</row>
    <row r="562" spans="1:45" ht="14.4">
      <c r="A562" s="33"/>
      <c r="B562" s="33"/>
      <c r="C562" s="33"/>
      <c r="D562" s="34"/>
      <c r="E562" s="34"/>
      <c r="F562" s="34"/>
      <c r="G562" s="33"/>
      <c r="H562" s="35"/>
      <c r="I562" s="34"/>
      <c r="J562" s="34"/>
      <c r="K562" s="34"/>
      <c r="L562" s="33"/>
      <c r="M562" s="33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</row>
    <row r="563" spans="1:45" ht="14.4">
      <c r="A563" s="33"/>
      <c r="B563" s="33"/>
      <c r="C563" s="33"/>
      <c r="D563" s="34"/>
      <c r="E563" s="34"/>
      <c r="F563" s="34"/>
      <c r="G563" s="33"/>
      <c r="H563" s="35"/>
      <c r="I563" s="34"/>
      <c r="J563" s="34"/>
      <c r="K563" s="34"/>
      <c r="L563" s="33"/>
      <c r="M563" s="33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</row>
    <row r="564" spans="1:45" ht="14.4">
      <c r="A564" s="33"/>
      <c r="B564" s="33"/>
      <c r="C564" s="33"/>
      <c r="D564" s="34"/>
      <c r="E564" s="34"/>
      <c r="F564" s="34"/>
      <c r="G564" s="33"/>
      <c r="H564" s="35"/>
      <c r="I564" s="34"/>
      <c r="J564" s="34"/>
      <c r="K564" s="34"/>
      <c r="L564" s="33"/>
      <c r="M564" s="33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  <c r="AQ564" s="34"/>
      <c r="AR564" s="34"/>
      <c r="AS564" s="34"/>
    </row>
    <row r="565" spans="1:45" ht="14.4">
      <c r="A565" s="33"/>
      <c r="B565" s="33"/>
      <c r="C565" s="33"/>
      <c r="D565" s="34"/>
      <c r="E565" s="34"/>
      <c r="F565" s="34"/>
      <c r="G565" s="33"/>
      <c r="H565" s="35"/>
      <c r="I565" s="34"/>
      <c r="J565" s="34"/>
      <c r="K565" s="34"/>
      <c r="L565" s="33"/>
      <c r="M565" s="33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</row>
    <row r="566" spans="1:45" ht="14.4">
      <c r="A566" s="33"/>
      <c r="B566" s="33"/>
      <c r="C566" s="33"/>
      <c r="D566" s="34"/>
      <c r="E566" s="34"/>
      <c r="F566" s="34"/>
      <c r="G566" s="33"/>
      <c r="H566" s="35"/>
      <c r="I566" s="34"/>
      <c r="J566" s="34"/>
      <c r="K566" s="34"/>
      <c r="L566" s="33"/>
      <c r="M566" s="33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</row>
    <row r="567" spans="1:45" ht="14.4">
      <c r="A567" s="33"/>
      <c r="B567" s="33"/>
      <c r="C567" s="33"/>
      <c r="D567" s="34"/>
      <c r="E567" s="34"/>
      <c r="F567" s="34"/>
      <c r="G567" s="33"/>
      <c r="H567" s="35"/>
      <c r="I567" s="34"/>
      <c r="J567" s="34"/>
      <c r="K567" s="34"/>
      <c r="L567" s="33"/>
      <c r="M567" s="33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</row>
    <row r="568" spans="1:45" ht="14.4">
      <c r="A568" s="33"/>
      <c r="B568" s="33"/>
      <c r="C568" s="33"/>
      <c r="D568" s="34"/>
      <c r="E568" s="34"/>
      <c r="F568" s="34"/>
      <c r="G568" s="33"/>
      <c r="H568" s="35"/>
      <c r="I568" s="34"/>
      <c r="J568" s="34"/>
      <c r="K568" s="34"/>
      <c r="L568" s="33"/>
      <c r="M568" s="33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/>
      <c r="AQ568" s="34"/>
      <c r="AR568" s="34"/>
      <c r="AS568" s="34"/>
    </row>
    <row r="569" spans="1:45" ht="14.4">
      <c r="A569" s="33"/>
      <c r="B569" s="33"/>
      <c r="C569" s="33"/>
      <c r="D569" s="34"/>
      <c r="E569" s="34"/>
      <c r="F569" s="34"/>
      <c r="G569" s="33"/>
      <c r="H569" s="35"/>
      <c r="I569" s="34"/>
      <c r="J569" s="34"/>
      <c r="K569" s="34"/>
      <c r="L569" s="33"/>
      <c r="M569" s="33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</row>
    <row r="570" spans="1:45" ht="14.4">
      <c r="A570" s="33"/>
      <c r="B570" s="33"/>
      <c r="C570" s="33"/>
      <c r="D570" s="34"/>
      <c r="E570" s="34"/>
      <c r="F570" s="34"/>
      <c r="G570" s="33"/>
      <c r="H570" s="35"/>
      <c r="I570" s="34"/>
      <c r="J570" s="34"/>
      <c r="K570" s="34"/>
      <c r="L570" s="33"/>
      <c r="M570" s="33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</row>
    <row r="571" spans="1:45" ht="14.4">
      <c r="A571" s="33"/>
      <c r="B571" s="33"/>
      <c r="C571" s="33"/>
      <c r="D571" s="34"/>
      <c r="E571" s="34"/>
      <c r="F571" s="34"/>
      <c r="G571" s="33"/>
      <c r="H571" s="35"/>
      <c r="I571" s="34"/>
      <c r="J571" s="34"/>
      <c r="K571" s="34"/>
      <c r="L571" s="33"/>
      <c r="M571" s="33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  <c r="AQ571" s="34"/>
      <c r="AR571" s="34"/>
      <c r="AS571" s="34"/>
    </row>
    <row r="572" spans="1:45" ht="14.4">
      <c r="A572" s="33"/>
      <c r="B572" s="33"/>
      <c r="C572" s="33"/>
      <c r="D572" s="34"/>
      <c r="E572" s="34"/>
      <c r="F572" s="34"/>
      <c r="G572" s="33"/>
      <c r="H572" s="35"/>
      <c r="I572" s="34"/>
      <c r="J572" s="34"/>
      <c r="K572" s="34"/>
      <c r="L572" s="33"/>
      <c r="M572" s="33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</row>
    <row r="573" spans="1:45" ht="14.4">
      <c r="A573" s="33"/>
      <c r="B573" s="33"/>
      <c r="C573" s="33"/>
      <c r="D573" s="34"/>
      <c r="E573" s="34"/>
      <c r="F573" s="34"/>
      <c r="G573" s="33"/>
      <c r="H573" s="35"/>
      <c r="I573" s="34"/>
      <c r="J573" s="34"/>
      <c r="K573" s="34"/>
      <c r="L573" s="33"/>
      <c r="M573" s="33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</row>
    <row r="574" spans="1:45" ht="14.4">
      <c r="A574" s="33"/>
      <c r="B574" s="33"/>
      <c r="C574" s="33"/>
      <c r="D574" s="34"/>
      <c r="E574" s="34"/>
      <c r="F574" s="34"/>
      <c r="G574" s="33"/>
      <c r="H574" s="35"/>
      <c r="I574" s="34"/>
      <c r="J574" s="34"/>
      <c r="K574" s="34"/>
      <c r="L574" s="33"/>
      <c r="M574" s="33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  <c r="AQ574" s="34"/>
      <c r="AR574" s="34"/>
      <c r="AS574" s="34"/>
    </row>
    <row r="575" spans="1:45" ht="14.4">
      <c r="A575" s="33"/>
      <c r="B575" s="33"/>
      <c r="C575" s="33"/>
      <c r="D575" s="34"/>
      <c r="E575" s="34"/>
      <c r="F575" s="34"/>
      <c r="G575" s="33"/>
      <c r="H575" s="35"/>
      <c r="I575" s="34"/>
      <c r="J575" s="34"/>
      <c r="K575" s="34"/>
      <c r="L575" s="33"/>
      <c r="M575" s="33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</row>
    <row r="576" spans="1:45" ht="14.4">
      <c r="A576" s="33"/>
      <c r="B576" s="33"/>
      <c r="C576" s="33"/>
      <c r="D576" s="34"/>
      <c r="E576" s="34"/>
      <c r="F576" s="34"/>
      <c r="G576" s="33"/>
      <c r="H576" s="35"/>
      <c r="I576" s="34"/>
      <c r="J576" s="34"/>
      <c r="K576" s="34"/>
      <c r="L576" s="33"/>
      <c r="M576" s="33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  <c r="AO576" s="34"/>
      <c r="AP576" s="34"/>
      <c r="AQ576" s="34"/>
      <c r="AR576" s="34"/>
      <c r="AS576" s="34"/>
    </row>
    <row r="577" spans="1:45" ht="14.4">
      <c r="A577" s="33"/>
      <c r="B577" s="33"/>
      <c r="C577" s="33"/>
      <c r="D577" s="34"/>
      <c r="E577" s="34"/>
      <c r="F577" s="34"/>
      <c r="G577" s="33"/>
      <c r="H577" s="35"/>
      <c r="I577" s="34"/>
      <c r="J577" s="34"/>
      <c r="K577" s="34"/>
      <c r="L577" s="33"/>
      <c r="M577" s="33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</row>
    <row r="578" spans="1:45" ht="14.4">
      <c r="A578" s="33"/>
      <c r="B578" s="33"/>
      <c r="C578" s="33"/>
      <c r="D578" s="34"/>
      <c r="E578" s="34"/>
      <c r="F578" s="34"/>
      <c r="G578" s="33"/>
      <c r="H578" s="35"/>
      <c r="I578" s="34"/>
      <c r="J578" s="34"/>
      <c r="K578" s="34"/>
      <c r="L578" s="33"/>
      <c r="M578" s="33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</row>
    <row r="579" spans="1:45" ht="14.4">
      <c r="A579" s="33"/>
      <c r="B579" s="33"/>
      <c r="C579" s="33"/>
      <c r="D579" s="34"/>
      <c r="E579" s="34"/>
      <c r="F579" s="34"/>
      <c r="G579" s="33"/>
      <c r="H579" s="35"/>
      <c r="I579" s="34"/>
      <c r="J579" s="34"/>
      <c r="K579" s="34"/>
      <c r="L579" s="33"/>
      <c r="M579" s="33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</row>
    <row r="580" spans="1:45" ht="14.4">
      <c r="A580" s="33"/>
      <c r="B580" s="33"/>
      <c r="C580" s="33"/>
      <c r="D580" s="34"/>
      <c r="E580" s="34"/>
      <c r="F580" s="34"/>
      <c r="G580" s="33"/>
      <c r="H580" s="35"/>
      <c r="I580" s="34"/>
      <c r="J580" s="34"/>
      <c r="K580" s="34"/>
      <c r="L580" s="33"/>
      <c r="M580" s="33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  <c r="AQ580" s="34"/>
      <c r="AR580" s="34"/>
      <c r="AS580" s="34"/>
    </row>
    <row r="581" spans="1:45" ht="14.4">
      <c r="A581" s="33"/>
      <c r="B581" s="33"/>
      <c r="C581" s="33"/>
      <c r="D581" s="34"/>
      <c r="E581" s="34"/>
      <c r="F581" s="34"/>
      <c r="G581" s="33"/>
      <c r="H581" s="35"/>
      <c r="I581" s="34"/>
      <c r="J581" s="34"/>
      <c r="K581" s="34"/>
      <c r="L581" s="33"/>
      <c r="M581" s="33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</row>
    <row r="582" spans="1:45" ht="14.4">
      <c r="A582" s="33"/>
      <c r="B582" s="33"/>
      <c r="C582" s="33"/>
      <c r="D582" s="34"/>
      <c r="E582" s="34"/>
      <c r="F582" s="34"/>
      <c r="G582" s="33"/>
      <c r="H582" s="35"/>
      <c r="I582" s="34"/>
      <c r="J582" s="34"/>
      <c r="K582" s="34"/>
      <c r="L582" s="33"/>
      <c r="M582" s="33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</row>
    <row r="583" spans="1:45" ht="14.4">
      <c r="A583" s="33"/>
      <c r="B583" s="33"/>
      <c r="C583" s="33"/>
      <c r="D583" s="34"/>
      <c r="E583" s="34"/>
      <c r="F583" s="34"/>
      <c r="G583" s="33"/>
      <c r="H583" s="35"/>
      <c r="I583" s="34"/>
      <c r="J583" s="34"/>
      <c r="K583" s="34"/>
      <c r="L583" s="33"/>
      <c r="M583" s="33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</row>
    <row r="584" spans="1:45" ht="14.4">
      <c r="A584" s="33"/>
      <c r="B584" s="33"/>
      <c r="C584" s="33"/>
      <c r="D584" s="34"/>
      <c r="E584" s="34"/>
      <c r="F584" s="34"/>
      <c r="G584" s="33"/>
      <c r="H584" s="35"/>
      <c r="I584" s="34"/>
      <c r="J584" s="34"/>
      <c r="K584" s="34"/>
      <c r="L584" s="33"/>
      <c r="M584" s="33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  <c r="AO584" s="34"/>
      <c r="AP584" s="34"/>
      <c r="AQ584" s="34"/>
      <c r="AR584" s="34"/>
      <c r="AS584" s="34"/>
    </row>
    <row r="585" spans="1:45" ht="14.4">
      <c r="A585" s="33"/>
      <c r="B585" s="33"/>
      <c r="C585" s="33"/>
      <c r="D585" s="34"/>
      <c r="E585" s="34"/>
      <c r="F585" s="34"/>
      <c r="G585" s="33"/>
      <c r="H585" s="35"/>
      <c r="I585" s="34"/>
      <c r="J585" s="34"/>
      <c r="K585" s="34"/>
      <c r="L585" s="33"/>
      <c r="M585" s="33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</row>
    <row r="586" spans="1:45" ht="14.4">
      <c r="A586" s="33"/>
      <c r="B586" s="33"/>
      <c r="C586" s="33"/>
      <c r="D586" s="34"/>
      <c r="E586" s="34"/>
      <c r="F586" s="34"/>
      <c r="G586" s="33"/>
      <c r="H586" s="35"/>
      <c r="I586" s="34"/>
      <c r="J586" s="34"/>
      <c r="K586" s="34"/>
      <c r="L586" s="33"/>
      <c r="M586" s="33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</row>
    <row r="587" spans="1:45" ht="14.4">
      <c r="A587" s="33"/>
      <c r="B587" s="33"/>
      <c r="C587" s="33"/>
      <c r="D587" s="34"/>
      <c r="E587" s="34"/>
      <c r="F587" s="34"/>
      <c r="G587" s="33"/>
      <c r="H587" s="35"/>
      <c r="I587" s="34"/>
      <c r="J587" s="34"/>
      <c r="K587" s="34"/>
      <c r="L587" s="33"/>
      <c r="M587" s="33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</row>
    <row r="588" spans="1:45" ht="14.4">
      <c r="A588" s="33"/>
      <c r="B588" s="33"/>
      <c r="C588" s="33"/>
      <c r="D588" s="34"/>
      <c r="E588" s="34"/>
      <c r="F588" s="34"/>
      <c r="G588" s="33"/>
      <c r="H588" s="35"/>
      <c r="I588" s="34"/>
      <c r="J588" s="34"/>
      <c r="K588" s="34"/>
      <c r="L588" s="33"/>
      <c r="M588" s="33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  <c r="AQ588" s="34"/>
      <c r="AR588" s="34"/>
      <c r="AS588" s="34"/>
    </row>
    <row r="589" spans="1:45" ht="14.4">
      <c r="A589" s="33"/>
      <c r="B589" s="33"/>
      <c r="C589" s="33"/>
      <c r="D589" s="34"/>
      <c r="E589" s="34"/>
      <c r="F589" s="34"/>
      <c r="G589" s="33"/>
      <c r="H589" s="35"/>
      <c r="I589" s="34"/>
      <c r="J589" s="34"/>
      <c r="K589" s="34"/>
      <c r="L589" s="33"/>
      <c r="M589" s="33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</row>
    <row r="590" spans="1:45" ht="14.4">
      <c r="A590" s="33"/>
      <c r="B590" s="33"/>
      <c r="C590" s="33"/>
      <c r="D590" s="34"/>
      <c r="E590" s="34"/>
      <c r="F590" s="34"/>
      <c r="G590" s="33"/>
      <c r="H590" s="35"/>
      <c r="I590" s="34"/>
      <c r="J590" s="34"/>
      <c r="K590" s="34"/>
      <c r="L590" s="33"/>
      <c r="M590" s="33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</row>
    <row r="591" spans="1:45" ht="14.4">
      <c r="A591" s="33"/>
      <c r="B591" s="33"/>
      <c r="C591" s="33"/>
      <c r="D591" s="34"/>
      <c r="E591" s="34"/>
      <c r="F591" s="34"/>
      <c r="G591" s="33"/>
      <c r="H591" s="35"/>
      <c r="I591" s="34"/>
      <c r="J591" s="34"/>
      <c r="K591" s="34"/>
      <c r="L591" s="33"/>
      <c r="M591" s="33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</row>
    <row r="592" spans="1:45" ht="14.4">
      <c r="A592" s="33"/>
      <c r="B592" s="33"/>
      <c r="C592" s="33"/>
      <c r="D592" s="34"/>
      <c r="E592" s="34"/>
      <c r="F592" s="34"/>
      <c r="G592" s="33"/>
      <c r="H592" s="35"/>
      <c r="I592" s="34"/>
      <c r="J592" s="34"/>
      <c r="K592" s="34"/>
      <c r="L592" s="33"/>
      <c r="M592" s="33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  <c r="AO592" s="34"/>
      <c r="AP592" s="34"/>
      <c r="AQ592" s="34"/>
      <c r="AR592" s="34"/>
      <c r="AS592" s="34"/>
    </row>
    <row r="593" spans="1:45" ht="14.4">
      <c r="A593" s="33"/>
      <c r="B593" s="33"/>
      <c r="C593" s="33"/>
      <c r="D593" s="34"/>
      <c r="E593" s="34"/>
      <c r="F593" s="34"/>
      <c r="G593" s="33"/>
      <c r="H593" s="35"/>
      <c r="I593" s="34"/>
      <c r="J593" s="34"/>
      <c r="K593" s="34"/>
      <c r="L593" s="33"/>
      <c r="M593" s="33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</row>
    <row r="594" spans="1:45" ht="14.4">
      <c r="A594" s="33"/>
      <c r="B594" s="33"/>
      <c r="C594" s="33"/>
      <c r="D594" s="34"/>
      <c r="E594" s="34"/>
      <c r="F594" s="34"/>
      <c r="G594" s="33"/>
      <c r="H594" s="35"/>
      <c r="I594" s="34"/>
      <c r="J594" s="34"/>
      <c r="K594" s="34"/>
      <c r="L594" s="33"/>
      <c r="M594" s="33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</row>
    <row r="595" spans="1:45" ht="14.4">
      <c r="A595" s="33"/>
      <c r="B595" s="33"/>
      <c r="C595" s="33"/>
      <c r="D595" s="34"/>
      <c r="E595" s="34"/>
      <c r="F595" s="34"/>
      <c r="G595" s="33"/>
      <c r="H595" s="35"/>
      <c r="I595" s="34"/>
      <c r="J595" s="34"/>
      <c r="K595" s="34"/>
      <c r="L595" s="33"/>
      <c r="M595" s="33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</row>
    <row r="596" spans="1:45" ht="14.4">
      <c r="A596" s="33"/>
      <c r="B596" s="33"/>
      <c r="C596" s="33"/>
      <c r="D596" s="34"/>
      <c r="E596" s="34"/>
      <c r="F596" s="34"/>
      <c r="G596" s="33"/>
      <c r="H596" s="35"/>
      <c r="I596" s="34"/>
      <c r="J596" s="34"/>
      <c r="K596" s="34"/>
      <c r="L596" s="33"/>
      <c r="M596" s="33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  <c r="AQ596" s="34"/>
      <c r="AR596" s="34"/>
      <c r="AS596" s="34"/>
    </row>
    <row r="597" spans="1:45" ht="14.4">
      <c r="A597" s="33"/>
      <c r="B597" s="33"/>
      <c r="C597" s="33"/>
      <c r="D597" s="34"/>
      <c r="E597" s="34"/>
      <c r="F597" s="34"/>
      <c r="G597" s="33"/>
      <c r="H597" s="35"/>
      <c r="I597" s="34"/>
      <c r="J597" s="34"/>
      <c r="K597" s="34"/>
      <c r="L597" s="33"/>
      <c r="M597" s="33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</row>
    <row r="598" spans="1:45" ht="14.4">
      <c r="A598" s="33"/>
      <c r="B598" s="33"/>
      <c r="C598" s="33"/>
      <c r="D598" s="34"/>
      <c r="E598" s="34"/>
      <c r="F598" s="34"/>
      <c r="G598" s="33"/>
      <c r="H598" s="35"/>
      <c r="I598" s="34"/>
      <c r="J598" s="34"/>
      <c r="K598" s="34"/>
      <c r="L598" s="33"/>
      <c r="M598" s="33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</row>
    <row r="599" spans="1:45" ht="14.4">
      <c r="A599" s="33"/>
      <c r="B599" s="33"/>
      <c r="C599" s="33"/>
      <c r="D599" s="34"/>
      <c r="E599" s="34"/>
      <c r="F599" s="34"/>
      <c r="G599" s="33"/>
      <c r="H599" s="35"/>
      <c r="I599" s="34"/>
      <c r="J599" s="34"/>
      <c r="K599" s="34"/>
      <c r="L599" s="33"/>
      <c r="M599" s="33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</row>
    <row r="600" spans="1:45" ht="14.4">
      <c r="A600" s="33"/>
      <c r="B600" s="33"/>
      <c r="C600" s="33"/>
      <c r="D600" s="34"/>
      <c r="E600" s="34"/>
      <c r="F600" s="34"/>
      <c r="G600" s="33"/>
      <c r="H600" s="35"/>
      <c r="I600" s="34"/>
      <c r="J600" s="34"/>
      <c r="K600" s="34"/>
      <c r="L600" s="33"/>
      <c r="M600" s="33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  <c r="AQ600" s="34"/>
      <c r="AR600" s="34"/>
      <c r="AS600" s="34"/>
    </row>
    <row r="601" spans="1:45" ht="14.4">
      <c r="A601" s="33"/>
      <c r="B601" s="33"/>
      <c r="C601" s="33"/>
      <c r="D601" s="34"/>
      <c r="E601" s="34"/>
      <c r="F601" s="34"/>
      <c r="G601" s="33"/>
      <c r="H601" s="35"/>
      <c r="I601" s="34"/>
      <c r="J601" s="34"/>
      <c r="K601" s="34"/>
      <c r="L601" s="33"/>
      <c r="M601" s="33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</row>
    <row r="602" spans="1:45" ht="14.4">
      <c r="A602" s="33"/>
      <c r="B602" s="33"/>
      <c r="C602" s="33"/>
      <c r="D602" s="34"/>
      <c r="E602" s="34"/>
      <c r="F602" s="34"/>
      <c r="G602" s="33"/>
      <c r="H602" s="35"/>
      <c r="I602" s="34"/>
      <c r="J602" s="34"/>
      <c r="K602" s="34"/>
      <c r="L602" s="33"/>
      <c r="M602" s="33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</row>
    <row r="603" spans="1:45" ht="14.4">
      <c r="A603" s="33"/>
      <c r="B603" s="33"/>
      <c r="C603" s="33"/>
      <c r="D603" s="34"/>
      <c r="E603" s="34"/>
      <c r="F603" s="34"/>
      <c r="G603" s="33"/>
      <c r="H603" s="35"/>
      <c r="I603" s="34"/>
      <c r="J603" s="34"/>
      <c r="K603" s="34"/>
      <c r="L603" s="33"/>
      <c r="M603" s="33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</row>
    <row r="604" spans="1:45" ht="14.4">
      <c r="A604" s="33"/>
      <c r="B604" s="33"/>
      <c r="C604" s="33"/>
      <c r="D604" s="34"/>
      <c r="E604" s="34"/>
      <c r="F604" s="34"/>
      <c r="G604" s="33"/>
      <c r="H604" s="35"/>
      <c r="I604" s="34"/>
      <c r="J604" s="34"/>
      <c r="K604" s="34"/>
      <c r="L604" s="33"/>
      <c r="M604" s="33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</row>
    <row r="605" spans="1:45" ht="14.4">
      <c r="A605" s="33"/>
      <c r="B605" s="33"/>
      <c r="C605" s="33"/>
      <c r="D605" s="34"/>
      <c r="E605" s="34"/>
      <c r="F605" s="34"/>
      <c r="G605" s="33"/>
      <c r="H605" s="35"/>
      <c r="I605" s="34"/>
      <c r="J605" s="34"/>
      <c r="K605" s="34"/>
      <c r="L605" s="33"/>
      <c r="M605" s="33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</row>
    <row r="606" spans="1:45" ht="14.4">
      <c r="A606" s="33"/>
      <c r="B606" s="33"/>
      <c r="C606" s="33"/>
      <c r="D606" s="34"/>
      <c r="E606" s="34"/>
      <c r="F606" s="34"/>
      <c r="G606" s="33"/>
      <c r="H606" s="35"/>
      <c r="I606" s="34"/>
      <c r="J606" s="34"/>
      <c r="K606" s="34"/>
      <c r="L606" s="33"/>
      <c r="M606" s="33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</row>
    <row r="607" spans="1:45" ht="14.4">
      <c r="A607" s="33"/>
      <c r="B607" s="33"/>
      <c r="C607" s="33"/>
      <c r="D607" s="34"/>
      <c r="E607" s="34"/>
      <c r="F607" s="34"/>
      <c r="G607" s="33"/>
      <c r="H607" s="35"/>
      <c r="I607" s="34"/>
      <c r="J607" s="34"/>
      <c r="K607" s="34"/>
      <c r="L607" s="33"/>
      <c r="M607" s="33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</row>
    <row r="608" spans="1:45" ht="14.4">
      <c r="A608" s="33"/>
      <c r="B608" s="33"/>
      <c r="C608" s="33"/>
      <c r="D608" s="34"/>
      <c r="E608" s="34"/>
      <c r="F608" s="34"/>
      <c r="G608" s="33"/>
      <c r="H608" s="35"/>
      <c r="I608" s="34"/>
      <c r="J608" s="34"/>
      <c r="K608" s="34"/>
      <c r="L608" s="33"/>
      <c r="M608" s="33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  <c r="AO608" s="34"/>
      <c r="AP608" s="34"/>
      <c r="AQ608" s="34"/>
      <c r="AR608" s="34"/>
      <c r="AS608" s="34"/>
    </row>
    <row r="609" spans="1:45" ht="14.4">
      <c r="A609" s="33"/>
      <c r="B609" s="33"/>
      <c r="C609" s="33"/>
      <c r="D609" s="34"/>
      <c r="E609" s="34"/>
      <c r="F609" s="34"/>
      <c r="G609" s="33"/>
      <c r="H609" s="35"/>
      <c r="I609" s="34"/>
      <c r="J609" s="34"/>
      <c r="K609" s="34"/>
      <c r="L609" s="33"/>
      <c r="M609" s="33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  <c r="AQ609" s="34"/>
      <c r="AR609" s="34"/>
      <c r="AS609" s="34"/>
    </row>
    <row r="610" spans="1:45" ht="14.4">
      <c r="A610" s="33"/>
      <c r="B610" s="33"/>
      <c r="C610" s="33"/>
      <c r="D610" s="34"/>
      <c r="E610" s="34"/>
      <c r="F610" s="34"/>
      <c r="G610" s="33"/>
      <c r="H610" s="35"/>
      <c r="I610" s="34"/>
      <c r="J610" s="34"/>
      <c r="K610" s="34"/>
      <c r="L610" s="33"/>
      <c r="M610" s="33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  <c r="AQ610" s="34"/>
      <c r="AR610" s="34"/>
      <c r="AS610" s="34"/>
    </row>
    <row r="611" spans="1:45" ht="14.4">
      <c r="A611" s="33"/>
      <c r="B611" s="33"/>
      <c r="C611" s="33"/>
      <c r="D611" s="34"/>
      <c r="E611" s="34"/>
      <c r="F611" s="34"/>
      <c r="G611" s="33"/>
      <c r="H611" s="35"/>
      <c r="I611" s="34"/>
      <c r="J611" s="34"/>
      <c r="K611" s="34"/>
      <c r="L611" s="33"/>
      <c r="M611" s="33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  <c r="AQ611" s="34"/>
      <c r="AR611" s="34"/>
      <c r="AS611" s="34"/>
    </row>
    <row r="612" spans="1:45" ht="14.4">
      <c r="A612" s="33"/>
      <c r="B612" s="33"/>
      <c r="C612" s="33"/>
      <c r="D612" s="34"/>
      <c r="E612" s="34"/>
      <c r="F612" s="34"/>
      <c r="G612" s="33"/>
      <c r="H612" s="35"/>
      <c r="I612" s="34"/>
      <c r="J612" s="34"/>
      <c r="K612" s="34"/>
      <c r="L612" s="33"/>
      <c r="M612" s="33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  <c r="AO612" s="34"/>
      <c r="AP612" s="34"/>
      <c r="AQ612" s="34"/>
      <c r="AR612" s="34"/>
      <c r="AS612" s="34"/>
    </row>
    <row r="613" spans="1:45" ht="14.4">
      <c r="A613" s="33"/>
      <c r="B613" s="33"/>
      <c r="C613" s="33"/>
      <c r="D613" s="34"/>
      <c r="E613" s="34"/>
      <c r="F613" s="34"/>
      <c r="G613" s="33"/>
      <c r="H613" s="35"/>
      <c r="I613" s="34"/>
      <c r="J613" s="34"/>
      <c r="K613" s="34"/>
      <c r="L613" s="33"/>
      <c r="M613" s="33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  <c r="AO613" s="34"/>
      <c r="AP613" s="34"/>
      <c r="AQ613" s="34"/>
      <c r="AR613" s="34"/>
      <c r="AS613" s="34"/>
    </row>
    <row r="614" spans="1:45" ht="14.4">
      <c r="A614" s="33"/>
      <c r="B614" s="33"/>
      <c r="C614" s="33"/>
      <c r="D614" s="34"/>
      <c r="E614" s="34"/>
      <c r="F614" s="34"/>
      <c r="G614" s="33"/>
      <c r="H614" s="35"/>
      <c r="I614" s="34"/>
      <c r="J614" s="34"/>
      <c r="K614" s="34"/>
      <c r="L614" s="33"/>
      <c r="M614" s="33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  <c r="AQ614" s="34"/>
      <c r="AR614" s="34"/>
      <c r="AS614" s="34"/>
    </row>
    <row r="615" spans="1:45" ht="14.4">
      <c r="A615" s="33"/>
      <c r="B615" s="33"/>
      <c r="C615" s="33"/>
      <c r="D615" s="34"/>
      <c r="E615" s="34"/>
      <c r="F615" s="34"/>
      <c r="G615" s="33"/>
      <c r="H615" s="35"/>
      <c r="I615" s="34"/>
      <c r="J615" s="34"/>
      <c r="K615" s="34"/>
      <c r="L615" s="33"/>
      <c r="M615" s="33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  <c r="AQ615" s="34"/>
      <c r="AR615" s="34"/>
      <c r="AS615" s="34"/>
    </row>
    <row r="616" spans="1:45" ht="14.4">
      <c r="A616" s="33"/>
      <c r="B616" s="33"/>
      <c r="C616" s="33"/>
      <c r="D616" s="34"/>
      <c r="E616" s="34"/>
      <c r="F616" s="34"/>
      <c r="G616" s="33"/>
      <c r="H616" s="35"/>
      <c r="I616" s="34"/>
      <c r="J616" s="34"/>
      <c r="K616" s="34"/>
      <c r="L616" s="33"/>
      <c r="M616" s="33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  <c r="AO616" s="34"/>
      <c r="AP616" s="34"/>
      <c r="AQ616" s="34"/>
      <c r="AR616" s="34"/>
      <c r="AS616" s="34"/>
    </row>
    <row r="617" spans="1:45" ht="14.4">
      <c r="A617" s="33"/>
      <c r="B617" s="33"/>
      <c r="C617" s="33"/>
      <c r="D617" s="34"/>
      <c r="E617" s="34"/>
      <c r="F617" s="34"/>
      <c r="G617" s="33"/>
      <c r="H617" s="35"/>
      <c r="I617" s="34"/>
      <c r="J617" s="34"/>
      <c r="K617" s="34"/>
      <c r="L617" s="33"/>
      <c r="M617" s="33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  <c r="AO617" s="34"/>
      <c r="AP617" s="34"/>
      <c r="AQ617" s="34"/>
      <c r="AR617" s="34"/>
      <c r="AS617" s="34"/>
    </row>
    <row r="618" spans="1:45" ht="14.4">
      <c r="A618" s="33"/>
      <c r="B618" s="33"/>
      <c r="C618" s="33"/>
      <c r="D618" s="34"/>
      <c r="E618" s="34"/>
      <c r="F618" s="34"/>
      <c r="G618" s="33"/>
      <c r="H618" s="35"/>
      <c r="I618" s="34"/>
      <c r="J618" s="34"/>
      <c r="K618" s="34"/>
      <c r="L618" s="33"/>
      <c r="M618" s="33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  <c r="AO618" s="34"/>
      <c r="AP618" s="34"/>
      <c r="AQ618" s="34"/>
      <c r="AR618" s="34"/>
      <c r="AS618" s="34"/>
    </row>
    <row r="619" spans="1:45" ht="14.4">
      <c r="A619" s="33"/>
      <c r="B619" s="33"/>
      <c r="C619" s="33"/>
      <c r="D619" s="34"/>
      <c r="E619" s="34"/>
      <c r="F619" s="34"/>
      <c r="G619" s="33"/>
      <c r="H619" s="35"/>
      <c r="I619" s="34"/>
      <c r="J619" s="34"/>
      <c r="K619" s="34"/>
      <c r="L619" s="33"/>
      <c r="M619" s="33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/>
      <c r="AQ619" s="34"/>
      <c r="AR619" s="34"/>
      <c r="AS619" s="34"/>
    </row>
    <row r="620" spans="1:45" ht="14.4">
      <c r="A620" s="33"/>
      <c r="B620" s="33"/>
      <c r="C620" s="33"/>
      <c r="D620" s="34"/>
      <c r="E620" s="34"/>
      <c r="F620" s="34"/>
      <c r="G620" s="33"/>
      <c r="H620" s="35"/>
      <c r="I620" s="34"/>
      <c r="J620" s="34"/>
      <c r="K620" s="34"/>
      <c r="L620" s="33"/>
      <c r="M620" s="33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  <c r="AO620" s="34"/>
      <c r="AP620" s="34"/>
      <c r="AQ620" s="34"/>
      <c r="AR620" s="34"/>
      <c r="AS620" s="34"/>
    </row>
    <row r="621" spans="1:45" ht="14.4">
      <c r="A621" s="33"/>
      <c r="B621" s="33"/>
      <c r="C621" s="33"/>
      <c r="D621" s="34"/>
      <c r="E621" s="34"/>
      <c r="F621" s="34"/>
      <c r="G621" s="33"/>
      <c r="H621" s="35"/>
      <c r="I621" s="34"/>
      <c r="J621" s="34"/>
      <c r="K621" s="34"/>
      <c r="L621" s="33"/>
      <c r="M621" s="33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  <c r="AO621" s="34"/>
      <c r="AP621" s="34"/>
      <c r="AQ621" s="34"/>
      <c r="AR621" s="34"/>
      <c r="AS621" s="34"/>
    </row>
    <row r="622" spans="1:45" ht="14.4">
      <c r="A622" s="33"/>
      <c r="B622" s="33"/>
      <c r="C622" s="33"/>
      <c r="D622" s="34"/>
      <c r="E622" s="34"/>
      <c r="F622" s="34"/>
      <c r="G622" s="33"/>
      <c r="H622" s="35"/>
      <c r="I622" s="34"/>
      <c r="J622" s="34"/>
      <c r="K622" s="34"/>
      <c r="L622" s="33"/>
      <c r="M622" s="33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  <c r="AQ622" s="34"/>
      <c r="AR622" s="34"/>
      <c r="AS622" s="34"/>
    </row>
    <row r="623" spans="1:45" ht="14.4">
      <c r="A623" s="33"/>
      <c r="B623" s="33"/>
      <c r="C623" s="33"/>
      <c r="D623" s="34"/>
      <c r="E623" s="34"/>
      <c r="F623" s="34"/>
      <c r="G623" s="33"/>
      <c r="H623" s="35"/>
      <c r="I623" s="34"/>
      <c r="J623" s="34"/>
      <c r="K623" s="34"/>
      <c r="L623" s="33"/>
      <c r="M623" s="33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  <c r="AO623" s="34"/>
      <c r="AP623" s="34"/>
      <c r="AQ623" s="34"/>
      <c r="AR623" s="34"/>
      <c r="AS623" s="34"/>
    </row>
    <row r="624" spans="1:45" ht="14.4">
      <c r="A624" s="33"/>
      <c r="B624" s="33"/>
      <c r="C624" s="33"/>
      <c r="D624" s="34"/>
      <c r="E624" s="34"/>
      <c r="F624" s="34"/>
      <c r="G624" s="33"/>
      <c r="H624" s="35"/>
      <c r="I624" s="34"/>
      <c r="J624" s="34"/>
      <c r="K624" s="34"/>
      <c r="L624" s="33"/>
      <c r="M624" s="33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  <c r="AQ624" s="34"/>
      <c r="AR624" s="34"/>
      <c r="AS624" s="34"/>
    </row>
    <row r="625" spans="1:45" ht="14.4">
      <c r="A625" s="33"/>
      <c r="B625" s="33"/>
      <c r="C625" s="33"/>
      <c r="D625" s="34"/>
      <c r="E625" s="34"/>
      <c r="F625" s="34"/>
      <c r="G625" s="33"/>
      <c r="H625" s="35"/>
      <c r="I625" s="34"/>
      <c r="J625" s="34"/>
      <c r="K625" s="34"/>
      <c r="L625" s="33"/>
      <c r="M625" s="33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  <c r="AQ625" s="34"/>
      <c r="AR625" s="34"/>
      <c r="AS625" s="34"/>
    </row>
    <row r="626" spans="1:45" ht="14.4">
      <c r="A626" s="33"/>
      <c r="B626" s="33"/>
      <c r="C626" s="33"/>
      <c r="D626" s="34"/>
      <c r="E626" s="34"/>
      <c r="F626" s="34"/>
      <c r="G626" s="33"/>
      <c r="H626" s="35"/>
      <c r="I626" s="34"/>
      <c r="J626" s="34"/>
      <c r="K626" s="34"/>
      <c r="L626" s="33"/>
      <c r="M626" s="33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  <c r="AQ626" s="34"/>
      <c r="AR626" s="34"/>
      <c r="AS626" s="34"/>
    </row>
    <row r="627" spans="1:45" ht="14.4">
      <c r="A627" s="33"/>
      <c r="B627" s="33"/>
      <c r="C627" s="33"/>
      <c r="D627" s="34"/>
      <c r="E627" s="34"/>
      <c r="F627" s="34"/>
      <c r="G627" s="33"/>
      <c r="H627" s="35"/>
      <c r="I627" s="34"/>
      <c r="J627" s="34"/>
      <c r="K627" s="34"/>
      <c r="L627" s="33"/>
      <c r="M627" s="33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  <c r="AO627" s="34"/>
      <c r="AP627" s="34"/>
      <c r="AQ627" s="34"/>
      <c r="AR627" s="34"/>
      <c r="AS627" s="34"/>
    </row>
    <row r="628" spans="1:45" ht="14.4">
      <c r="A628" s="33"/>
      <c r="B628" s="33"/>
      <c r="C628" s="33"/>
      <c r="D628" s="34"/>
      <c r="E628" s="34"/>
      <c r="F628" s="34"/>
      <c r="G628" s="33"/>
      <c r="H628" s="35"/>
      <c r="I628" s="34"/>
      <c r="J628" s="34"/>
      <c r="K628" s="34"/>
      <c r="L628" s="33"/>
      <c r="M628" s="33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  <c r="AO628" s="34"/>
      <c r="AP628" s="34"/>
      <c r="AQ628" s="34"/>
      <c r="AR628" s="34"/>
      <c r="AS628" s="34"/>
    </row>
    <row r="629" spans="1:45" ht="14.4">
      <c r="A629" s="33"/>
      <c r="B629" s="33"/>
      <c r="C629" s="33"/>
      <c r="D629" s="34"/>
      <c r="E629" s="34"/>
      <c r="F629" s="34"/>
      <c r="G629" s="33"/>
      <c r="H629" s="35"/>
      <c r="I629" s="34"/>
      <c r="J629" s="34"/>
      <c r="K629" s="34"/>
      <c r="L629" s="33"/>
      <c r="M629" s="33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  <c r="AQ629" s="34"/>
      <c r="AR629" s="34"/>
      <c r="AS629" s="34"/>
    </row>
    <row r="630" spans="1:45" ht="14.4">
      <c r="A630" s="33"/>
      <c r="B630" s="33"/>
      <c r="C630" s="33"/>
      <c r="D630" s="34"/>
      <c r="E630" s="34"/>
      <c r="F630" s="34"/>
      <c r="G630" s="33"/>
      <c r="H630" s="35"/>
      <c r="I630" s="34"/>
      <c r="J630" s="34"/>
      <c r="K630" s="34"/>
      <c r="L630" s="33"/>
      <c r="M630" s="33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  <c r="AQ630" s="34"/>
      <c r="AR630" s="34"/>
      <c r="AS630" s="34"/>
    </row>
    <row r="631" spans="1:45" ht="14.4">
      <c r="A631" s="33"/>
      <c r="B631" s="33"/>
      <c r="C631" s="33"/>
      <c r="D631" s="34"/>
      <c r="E631" s="34"/>
      <c r="F631" s="34"/>
      <c r="G631" s="33"/>
      <c r="H631" s="35"/>
      <c r="I631" s="34"/>
      <c r="J631" s="34"/>
      <c r="K631" s="34"/>
      <c r="L631" s="33"/>
      <c r="M631" s="33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  <c r="AO631" s="34"/>
      <c r="AP631" s="34"/>
      <c r="AQ631" s="34"/>
      <c r="AR631" s="34"/>
      <c r="AS631" s="34"/>
    </row>
    <row r="632" spans="1:45" ht="14.4">
      <c r="A632" s="33"/>
      <c r="B632" s="33"/>
      <c r="C632" s="33"/>
      <c r="D632" s="34"/>
      <c r="E632" s="34"/>
      <c r="F632" s="34"/>
      <c r="G632" s="33"/>
      <c r="H632" s="35"/>
      <c r="I632" s="34"/>
      <c r="J632" s="34"/>
      <c r="K632" s="34"/>
      <c r="L632" s="33"/>
      <c r="M632" s="33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  <c r="AQ632" s="34"/>
      <c r="AR632" s="34"/>
      <c r="AS632" s="34"/>
    </row>
    <row r="633" spans="1:45" ht="14.4">
      <c r="A633" s="33"/>
      <c r="B633" s="33"/>
      <c r="C633" s="33"/>
      <c r="D633" s="34"/>
      <c r="E633" s="34"/>
      <c r="F633" s="34"/>
      <c r="G633" s="33"/>
      <c r="H633" s="35"/>
      <c r="I633" s="34"/>
      <c r="J633" s="34"/>
      <c r="K633" s="34"/>
      <c r="L633" s="33"/>
      <c r="M633" s="33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  <c r="AO633" s="34"/>
      <c r="AP633" s="34"/>
      <c r="AQ633" s="34"/>
      <c r="AR633" s="34"/>
      <c r="AS633" s="34"/>
    </row>
    <row r="634" spans="1:45" ht="14.4">
      <c r="A634" s="33"/>
      <c r="B634" s="33"/>
      <c r="C634" s="33"/>
      <c r="D634" s="34"/>
      <c r="E634" s="34"/>
      <c r="F634" s="34"/>
      <c r="G634" s="33"/>
      <c r="H634" s="35"/>
      <c r="I634" s="34"/>
      <c r="J634" s="34"/>
      <c r="K634" s="34"/>
      <c r="L634" s="33"/>
      <c r="M634" s="33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  <c r="AO634" s="34"/>
      <c r="AP634" s="34"/>
      <c r="AQ634" s="34"/>
      <c r="AR634" s="34"/>
      <c r="AS634" s="34"/>
    </row>
    <row r="635" spans="1:45" ht="14.4">
      <c r="A635" s="33"/>
      <c r="B635" s="33"/>
      <c r="C635" s="33"/>
      <c r="D635" s="34"/>
      <c r="E635" s="34"/>
      <c r="F635" s="34"/>
      <c r="G635" s="33"/>
      <c r="H635" s="35"/>
      <c r="I635" s="34"/>
      <c r="J635" s="34"/>
      <c r="K635" s="34"/>
      <c r="L635" s="33"/>
      <c r="M635" s="33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  <c r="AO635" s="34"/>
      <c r="AP635" s="34"/>
      <c r="AQ635" s="34"/>
      <c r="AR635" s="34"/>
      <c r="AS635" s="34"/>
    </row>
    <row r="636" spans="1:45" ht="14.4">
      <c r="A636" s="33"/>
      <c r="B636" s="33"/>
      <c r="C636" s="33"/>
      <c r="D636" s="34"/>
      <c r="E636" s="34"/>
      <c r="F636" s="34"/>
      <c r="G636" s="33"/>
      <c r="H636" s="35"/>
      <c r="I636" s="34"/>
      <c r="J636" s="34"/>
      <c r="K636" s="34"/>
      <c r="L636" s="33"/>
      <c r="M636" s="33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  <c r="AQ636" s="34"/>
      <c r="AR636" s="34"/>
      <c r="AS636" s="34"/>
    </row>
    <row r="637" spans="1:45" ht="14.4">
      <c r="A637" s="33"/>
      <c r="B637" s="33"/>
      <c r="C637" s="33"/>
      <c r="D637" s="34"/>
      <c r="E637" s="34"/>
      <c r="F637" s="34"/>
      <c r="G637" s="33"/>
      <c r="H637" s="35"/>
      <c r="I637" s="34"/>
      <c r="J637" s="34"/>
      <c r="K637" s="34"/>
      <c r="L637" s="33"/>
      <c r="M637" s="33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  <c r="AO637" s="34"/>
      <c r="AP637" s="34"/>
      <c r="AQ637" s="34"/>
      <c r="AR637" s="34"/>
      <c r="AS637" s="34"/>
    </row>
    <row r="638" spans="1:45" ht="14.4">
      <c r="A638" s="33"/>
      <c r="B638" s="33"/>
      <c r="C638" s="33"/>
      <c r="D638" s="34"/>
      <c r="E638" s="34"/>
      <c r="F638" s="34"/>
      <c r="G638" s="33"/>
      <c r="H638" s="35"/>
      <c r="I638" s="34"/>
      <c r="J638" s="34"/>
      <c r="K638" s="34"/>
      <c r="L638" s="33"/>
      <c r="M638" s="33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  <c r="AO638" s="34"/>
      <c r="AP638" s="34"/>
      <c r="AQ638" s="34"/>
      <c r="AR638" s="34"/>
      <c r="AS638" s="34"/>
    </row>
    <row r="639" spans="1:45" ht="14.4">
      <c r="A639" s="33"/>
      <c r="B639" s="33"/>
      <c r="C639" s="33"/>
      <c r="D639" s="34"/>
      <c r="E639" s="34"/>
      <c r="F639" s="34"/>
      <c r="G639" s="33"/>
      <c r="H639" s="35"/>
      <c r="I639" s="34"/>
      <c r="J639" s="34"/>
      <c r="K639" s="34"/>
      <c r="L639" s="33"/>
      <c r="M639" s="33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  <c r="AQ639" s="34"/>
      <c r="AR639" s="34"/>
      <c r="AS639" s="34"/>
    </row>
    <row r="640" spans="1:45" ht="14.4">
      <c r="A640" s="33"/>
      <c r="B640" s="33"/>
      <c r="C640" s="33"/>
      <c r="D640" s="34"/>
      <c r="E640" s="34"/>
      <c r="F640" s="34"/>
      <c r="G640" s="33"/>
      <c r="H640" s="35"/>
      <c r="I640" s="34"/>
      <c r="J640" s="34"/>
      <c r="K640" s="34"/>
      <c r="L640" s="33"/>
      <c r="M640" s="33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  <c r="AQ640" s="34"/>
      <c r="AR640" s="34"/>
      <c r="AS640" s="34"/>
    </row>
    <row r="641" spans="1:45" ht="14.4">
      <c r="A641" s="33"/>
      <c r="B641" s="33"/>
      <c r="C641" s="33"/>
      <c r="D641" s="34"/>
      <c r="E641" s="34"/>
      <c r="F641" s="34"/>
      <c r="G641" s="33"/>
      <c r="H641" s="35"/>
      <c r="I641" s="34"/>
      <c r="J641" s="34"/>
      <c r="K641" s="34"/>
      <c r="L641" s="33"/>
      <c r="M641" s="33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/>
      <c r="AQ641" s="34"/>
      <c r="AR641" s="34"/>
      <c r="AS641" s="34"/>
    </row>
    <row r="642" spans="1:45" ht="14.4">
      <c r="A642" s="33"/>
      <c r="B642" s="33"/>
      <c r="C642" s="33"/>
      <c r="D642" s="34"/>
      <c r="E642" s="34"/>
      <c r="F642" s="34"/>
      <c r="G642" s="33"/>
      <c r="H642" s="35"/>
      <c r="I642" s="34"/>
      <c r="J642" s="34"/>
      <c r="K642" s="34"/>
      <c r="L642" s="33"/>
      <c r="M642" s="33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  <c r="AO642" s="34"/>
      <c r="AP642" s="34"/>
      <c r="AQ642" s="34"/>
      <c r="AR642" s="34"/>
      <c r="AS642" s="34"/>
    </row>
    <row r="643" spans="1:45" ht="14.4">
      <c r="A643" s="33"/>
      <c r="B643" s="33"/>
      <c r="C643" s="33"/>
      <c r="D643" s="34"/>
      <c r="E643" s="34"/>
      <c r="F643" s="34"/>
      <c r="G643" s="33"/>
      <c r="H643" s="35"/>
      <c r="I643" s="34"/>
      <c r="J643" s="34"/>
      <c r="K643" s="34"/>
      <c r="L643" s="33"/>
      <c r="M643" s="33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  <c r="AQ643" s="34"/>
      <c r="AR643" s="34"/>
      <c r="AS643" s="34"/>
    </row>
    <row r="644" spans="1:45" ht="14.4">
      <c r="A644" s="33"/>
      <c r="B644" s="33"/>
      <c r="C644" s="33"/>
      <c r="D644" s="34"/>
      <c r="E644" s="34"/>
      <c r="F644" s="34"/>
      <c r="G644" s="33"/>
      <c r="H644" s="35"/>
      <c r="I644" s="34"/>
      <c r="J644" s="34"/>
      <c r="K644" s="34"/>
      <c r="L644" s="33"/>
      <c r="M644" s="33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  <c r="AQ644" s="34"/>
      <c r="AR644" s="34"/>
      <c r="AS644" s="34"/>
    </row>
    <row r="645" spans="1:45" ht="14.4">
      <c r="A645" s="33"/>
      <c r="B645" s="33"/>
      <c r="C645" s="33"/>
      <c r="D645" s="34"/>
      <c r="E645" s="34"/>
      <c r="F645" s="34"/>
      <c r="G645" s="33"/>
      <c r="H645" s="35"/>
      <c r="I645" s="34"/>
      <c r="J645" s="34"/>
      <c r="K645" s="34"/>
      <c r="L645" s="33"/>
      <c r="M645" s="33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  <c r="AQ645" s="34"/>
      <c r="AR645" s="34"/>
      <c r="AS645" s="34"/>
    </row>
    <row r="646" spans="1:45" ht="14.4">
      <c r="A646" s="33"/>
      <c r="B646" s="33"/>
      <c r="C646" s="33"/>
      <c r="D646" s="34"/>
      <c r="E646" s="34"/>
      <c r="F646" s="34"/>
      <c r="G646" s="33"/>
      <c r="H646" s="35"/>
      <c r="I646" s="34"/>
      <c r="J646" s="34"/>
      <c r="K646" s="34"/>
      <c r="L646" s="33"/>
      <c r="M646" s="33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  <c r="AO646" s="34"/>
      <c r="AP646" s="34"/>
      <c r="AQ646" s="34"/>
      <c r="AR646" s="34"/>
      <c r="AS646" s="34"/>
    </row>
    <row r="647" spans="1:45" ht="14.4">
      <c r="A647" s="33"/>
      <c r="B647" s="33"/>
      <c r="C647" s="33"/>
      <c r="D647" s="34"/>
      <c r="E647" s="34"/>
      <c r="F647" s="34"/>
      <c r="G647" s="33"/>
      <c r="H647" s="35"/>
      <c r="I647" s="34"/>
      <c r="J647" s="34"/>
      <c r="K647" s="34"/>
      <c r="L647" s="33"/>
      <c r="M647" s="33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  <c r="AQ647" s="34"/>
      <c r="AR647" s="34"/>
      <c r="AS647" s="34"/>
    </row>
    <row r="648" spans="1:45" ht="14.4">
      <c r="A648" s="33"/>
      <c r="B648" s="33"/>
      <c r="C648" s="33"/>
      <c r="D648" s="34"/>
      <c r="E648" s="34"/>
      <c r="F648" s="34"/>
      <c r="G648" s="33"/>
      <c r="H648" s="35"/>
      <c r="I648" s="34"/>
      <c r="J648" s="34"/>
      <c r="K648" s="34"/>
      <c r="L648" s="33"/>
      <c r="M648" s="33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</row>
    <row r="649" spans="1:45" ht="14.4">
      <c r="A649" s="33"/>
      <c r="B649" s="33"/>
      <c r="C649" s="33"/>
      <c r="D649" s="34"/>
      <c r="E649" s="34"/>
      <c r="F649" s="34"/>
      <c r="G649" s="33"/>
      <c r="H649" s="35"/>
      <c r="I649" s="34"/>
      <c r="J649" s="34"/>
      <c r="K649" s="34"/>
      <c r="L649" s="33"/>
      <c r="M649" s="33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  <c r="AO649" s="34"/>
      <c r="AP649" s="34"/>
      <c r="AQ649" s="34"/>
      <c r="AR649" s="34"/>
      <c r="AS649" s="34"/>
    </row>
    <row r="650" spans="1:45" ht="14.4">
      <c r="A650" s="33"/>
      <c r="B650" s="33"/>
      <c r="C650" s="33"/>
      <c r="D650" s="34"/>
      <c r="E650" s="34"/>
      <c r="F650" s="34"/>
      <c r="G650" s="33"/>
      <c r="H650" s="35"/>
      <c r="I650" s="34"/>
      <c r="J650" s="34"/>
      <c r="K650" s="34"/>
      <c r="L650" s="33"/>
      <c r="M650" s="33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  <c r="AO650" s="34"/>
      <c r="AP650" s="34"/>
      <c r="AQ650" s="34"/>
      <c r="AR650" s="34"/>
      <c r="AS650" s="34"/>
    </row>
    <row r="651" spans="1:45" ht="14.4">
      <c r="A651" s="33"/>
      <c r="B651" s="33"/>
      <c r="C651" s="33"/>
      <c r="D651" s="34"/>
      <c r="E651" s="34"/>
      <c r="F651" s="34"/>
      <c r="G651" s="33"/>
      <c r="H651" s="35"/>
      <c r="I651" s="34"/>
      <c r="J651" s="34"/>
      <c r="K651" s="34"/>
      <c r="L651" s="33"/>
      <c r="M651" s="33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  <c r="AQ651" s="34"/>
      <c r="AR651" s="34"/>
      <c r="AS651" s="34"/>
    </row>
    <row r="652" spans="1:45" ht="14.4">
      <c r="A652" s="33"/>
      <c r="B652" s="33"/>
      <c r="C652" s="33"/>
      <c r="D652" s="34"/>
      <c r="E652" s="34"/>
      <c r="F652" s="34"/>
      <c r="G652" s="33"/>
      <c r="H652" s="35"/>
      <c r="I652" s="34"/>
      <c r="J652" s="34"/>
      <c r="K652" s="34"/>
      <c r="L652" s="33"/>
      <c r="M652" s="33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  <c r="AO652" s="34"/>
      <c r="AP652" s="34"/>
      <c r="AQ652" s="34"/>
      <c r="AR652" s="34"/>
      <c r="AS652" s="34"/>
    </row>
    <row r="653" spans="1:45" ht="14.4">
      <c r="A653" s="33"/>
      <c r="B653" s="33"/>
      <c r="C653" s="33"/>
      <c r="D653" s="34"/>
      <c r="E653" s="34"/>
      <c r="F653" s="34"/>
      <c r="G653" s="33"/>
      <c r="H653" s="35"/>
      <c r="I653" s="34"/>
      <c r="J653" s="34"/>
      <c r="K653" s="34"/>
      <c r="L653" s="33"/>
      <c r="M653" s="33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  <c r="AO653" s="34"/>
      <c r="AP653" s="34"/>
      <c r="AQ653" s="34"/>
      <c r="AR653" s="34"/>
      <c r="AS653" s="34"/>
    </row>
    <row r="654" spans="1:45" ht="14.4">
      <c r="A654" s="33"/>
      <c r="B654" s="33"/>
      <c r="C654" s="33"/>
      <c r="D654" s="34"/>
      <c r="E654" s="34"/>
      <c r="F654" s="34"/>
      <c r="G654" s="33"/>
      <c r="H654" s="35"/>
      <c r="I654" s="34"/>
      <c r="J654" s="34"/>
      <c r="K654" s="34"/>
      <c r="L654" s="33"/>
      <c r="M654" s="33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  <c r="AO654" s="34"/>
      <c r="AP654" s="34"/>
      <c r="AQ654" s="34"/>
      <c r="AR654" s="34"/>
      <c r="AS654" s="34"/>
    </row>
    <row r="655" spans="1:45" ht="14.4">
      <c r="A655" s="33"/>
      <c r="B655" s="33"/>
      <c r="C655" s="33"/>
      <c r="D655" s="34"/>
      <c r="E655" s="34"/>
      <c r="F655" s="34"/>
      <c r="G655" s="33"/>
      <c r="H655" s="35"/>
      <c r="I655" s="34"/>
      <c r="J655" s="34"/>
      <c r="K655" s="34"/>
      <c r="L655" s="33"/>
      <c r="M655" s="33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  <c r="AO655" s="34"/>
      <c r="AP655" s="34"/>
      <c r="AQ655" s="34"/>
      <c r="AR655" s="34"/>
      <c r="AS655" s="34"/>
    </row>
    <row r="656" spans="1:45" ht="14.4">
      <c r="A656" s="33"/>
      <c r="B656" s="33"/>
      <c r="C656" s="33"/>
      <c r="D656" s="34"/>
      <c r="E656" s="34"/>
      <c r="F656" s="34"/>
      <c r="G656" s="33"/>
      <c r="H656" s="35"/>
      <c r="I656" s="34"/>
      <c r="J656" s="34"/>
      <c r="K656" s="34"/>
      <c r="L656" s="33"/>
      <c r="M656" s="33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  <c r="AO656" s="34"/>
      <c r="AP656" s="34"/>
      <c r="AQ656" s="34"/>
      <c r="AR656" s="34"/>
      <c r="AS656" s="34"/>
    </row>
    <row r="657" spans="1:45" ht="14.4">
      <c r="A657" s="33"/>
      <c r="B657" s="33"/>
      <c r="C657" s="33"/>
      <c r="D657" s="34"/>
      <c r="E657" s="34"/>
      <c r="F657" s="34"/>
      <c r="G657" s="33"/>
      <c r="H657" s="35"/>
      <c r="I657" s="34"/>
      <c r="J657" s="34"/>
      <c r="K657" s="34"/>
      <c r="L657" s="33"/>
      <c r="M657" s="33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  <c r="AQ657" s="34"/>
      <c r="AR657" s="34"/>
      <c r="AS657" s="34"/>
    </row>
    <row r="658" spans="1:45" ht="14.4">
      <c r="A658" s="33"/>
      <c r="B658" s="33"/>
      <c r="C658" s="33"/>
      <c r="D658" s="34"/>
      <c r="E658" s="34"/>
      <c r="F658" s="34"/>
      <c r="G658" s="33"/>
      <c r="H658" s="35"/>
      <c r="I658" s="34"/>
      <c r="J658" s="34"/>
      <c r="K658" s="34"/>
      <c r="L658" s="33"/>
      <c r="M658" s="33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  <c r="AQ658" s="34"/>
      <c r="AR658" s="34"/>
      <c r="AS658" s="34"/>
    </row>
    <row r="659" spans="1:45" ht="14.4">
      <c r="A659" s="33"/>
      <c r="B659" s="33"/>
      <c r="C659" s="33"/>
      <c r="D659" s="34"/>
      <c r="E659" s="34"/>
      <c r="F659" s="34"/>
      <c r="G659" s="33"/>
      <c r="H659" s="35"/>
      <c r="I659" s="34"/>
      <c r="J659" s="34"/>
      <c r="K659" s="34"/>
      <c r="L659" s="33"/>
      <c r="M659" s="33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  <c r="AO659" s="34"/>
      <c r="AP659" s="34"/>
      <c r="AQ659" s="34"/>
      <c r="AR659" s="34"/>
      <c r="AS659" s="34"/>
    </row>
    <row r="660" spans="1:45" ht="14.4">
      <c r="A660" s="33"/>
      <c r="B660" s="33"/>
      <c r="C660" s="33"/>
      <c r="D660" s="34"/>
      <c r="E660" s="34"/>
      <c r="F660" s="34"/>
      <c r="G660" s="33"/>
      <c r="H660" s="35"/>
      <c r="I660" s="34"/>
      <c r="J660" s="34"/>
      <c r="K660" s="34"/>
      <c r="L660" s="33"/>
      <c r="M660" s="33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  <c r="AO660" s="34"/>
      <c r="AP660" s="34"/>
      <c r="AQ660" s="34"/>
      <c r="AR660" s="34"/>
      <c r="AS660" s="34"/>
    </row>
    <row r="661" spans="1:45" ht="14.4">
      <c r="A661" s="33"/>
      <c r="B661" s="33"/>
      <c r="C661" s="33"/>
      <c r="D661" s="34"/>
      <c r="E661" s="34"/>
      <c r="F661" s="34"/>
      <c r="G661" s="33"/>
      <c r="H661" s="35"/>
      <c r="I661" s="34"/>
      <c r="J661" s="34"/>
      <c r="K661" s="34"/>
      <c r="L661" s="33"/>
      <c r="M661" s="33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  <c r="AQ661" s="34"/>
      <c r="AR661" s="34"/>
      <c r="AS661" s="34"/>
    </row>
    <row r="662" spans="1:45" ht="14.4">
      <c r="A662" s="33"/>
      <c r="B662" s="33"/>
      <c r="C662" s="33"/>
      <c r="D662" s="34"/>
      <c r="E662" s="34"/>
      <c r="F662" s="34"/>
      <c r="G662" s="33"/>
      <c r="H662" s="35"/>
      <c r="I662" s="34"/>
      <c r="J662" s="34"/>
      <c r="K662" s="34"/>
      <c r="L662" s="33"/>
      <c r="M662" s="33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  <c r="AQ662" s="34"/>
      <c r="AR662" s="34"/>
      <c r="AS662" s="34"/>
    </row>
    <row r="663" spans="1:45" ht="14.4">
      <c r="A663" s="33"/>
      <c r="B663" s="33"/>
      <c r="C663" s="33"/>
      <c r="D663" s="34"/>
      <c r="E663" s="34"/>
      <c r="F663" s="34"/>
      <c r="G663" s="33"/>
      <c r="H663" s="35"/>
      <c r="I663" s="34"/>
      <c r="J663" s="34"/>
      <c r="K663" s="34"/>
      <c r="L663" s="33"/>
      <c r="M663" s="33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  <c r="AQ663" s="34"/>
      <c r="AR663" s="34"/>
      <c r="AS663" s="34"/>
    </row>
    <row r="664" spans="1:45" ht="14.4">
      <c r="A664" s="33"/>
      <c r="B664" s="33"/>
      <c r="C664" s="33"/>
      <c r="D664" s="34"/>
      <c r="E664" s="34"/>
      <c r="F664" s="34"/>
      <c r="G664" s="33"/>
      <c r="H664" s="35"/>
      <c r="I664" s="34"/>
      <c r="J664" s="34"/>
      <c r="K664" s="34"/>
      <c r="L664" s="33"/>
      <c r="M664" s="33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  <c r="AO664" s="34"/>
      <c r="AP664" s="34"/>
      <c r="AQ664" s="34"/>
      <c r="AR664" s="34"/>
      <c r="AS664" s="34"/>
    </row>
    <row r="665" spans="1:45" ht="14.4">
      <c r="A665" s="33"/>
      <c r="B665" s="33"/>
      <c r="C665" s="33"/>
      <c r="D665" s="34"/>
      <c r="E665" s="34"/>
      <c r="F665" s="34"/>
      <c r="G665" s="33"/>
      <c r="H665" s="35"/>
      <c r="I665" s="34"/>
      <c r="J665" s="34"/>
      <c r="K665" s="34"/>
      <c r="L665" s="33"/>
      <c r="M665" s="33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  <c r="AQ665" s="34"/>
      <c r="AR665" s="34"/>
      <c r="AS665" s="34"/>
    </row>
    <row r="666" spans="1:45" ht="14.4">
      <c r="A666" s="33"/>
      <c r="B666" s="33"/>
      <c r="C666" s="33"/>
      <c r="D666" s="34"/>
      <c r="E666" s="34"/>
      <c r="F666" s="34"/>
      <c r="G666" s="33"/>
      <c r="H666" s="35"/>
      <c r="I666" s="34"/>
      <c r="J666" s="34"/>
      <c r="K666" s="34"/>
      <c r="L666" s="33"/>
      <c r="M666" s="33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  <c r="AQ666" s="34"/>
      <c r="AR666" s="34"/>
      <c r="AS666" s="34"/>
    </row>
    <row r="667" spans="1:45" ht="14.4">
      <c r="A667" s="33"/>
      <c r="B667" s="33"/>
      <c r="C667" s="33"/>
      <c r="D667" s="34"/>
      <c r="E667" s="34"/>
      <c r="F667" s="34"/>
      <c r="G667" s="33"/>
      <c r="H667" s="35"/>
      <c r="I667" s="34"/>
      <c r="J667" s="34"/>
      <c r="K667" s="34"/>
      <c r="L667" s="33"/>
      <c r="M667" s="33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  <c r="AO667" s="34"/>
      <c r="AP667" s="34"/>
      <c r="AQ667" s="34"/>
      <c r="AR667" s="34"/>
      <c r="AS667" s="34"/>
    </row>
    <row r="668" spans="1:45" ht="14.4">
      <c r="A668" s="33"/>
      <c r="B668" s="33"/>
      <c r="C668" s="33"/>
      <c r="D668" s="34"/>
      <c r="E668" s="34"/>
      <c r="F668" s="34"/>
      <c r="G668" s="33"/>
      <c r="H668" s="35"/>
      <c r="I668" s="34"/>
      <c r="J668" s="34"/>
      <c r="K668" s="34"/>
      <c r="L668" s="33"/>
      <c r="M668" s="33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  <c r="AO668" s="34"/>
      <c r="AP668" s="34"/>
      <c r="AQ668" s="34"/>
      <c r="AR668" s="34"/>
      <c r="AS668" s="34"/>
    </row>
    <row r="669" spans="1:45" ht="14.4">
      <c r="A669" s="33"/>
      <c r="B669" s="33"/>
      <c r="C669" s="33"/>
      <c r="D669" s="34"/>
      <c r="E669" s="34"/>
      <c r="F669" s="34"/>
      <c r="G669" s="33"/>
      <c r="H669" s="35"/>
      <c r="I669" s="34"/>
      <c r="J669" s="34"/>
      <c r="K669" s="34"/>
      <c r="L669" s="33"/>
      <c r="M669" s="33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  <c r="AO669" s="34"/>
      <c r="AP669" s="34"/>
      <c r="AQ669" s="34"/>
      <c r="AR669" s="34"/>
      <c r="AS669" s="34"/>
    </row>
    <row r="670" spans="1:45" ht="14.4">
      <c r="A670" s="33"/>
      <c r="B670" s="33"/>
      <c r="C670" s="33"/>
      <c r="D670" s="34"/>
      <c r="E670" s="34"/>
      <c r="F670" s="34"/>
      <c r="G670" s="33"/>
      <c r="H670" s="35"/>
      <c r="I670" s="34"/>
      <c r="J670" s="34"/>
      <c r="K670" s="34"/>
      <c r="L670" s="33"/>
      <c r="M670" s="33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  <c r="AO670" s="34"/>
      <c r="AP670" s="34"/>
      <c r="AQ670" s="34"/>
      <c r="AR670" s="34"/>
      <c r="AS670" s="34"/>
    </row>
    <row r="671" spans="1:45" ht="14.4">
      <c r="A671" s="33"/>
      <c r="B671" s="33"/>
      <c r="C671" s="33"/>
      <c r="D671" s="34"/>
      <c r="E671" s="34"/>
      <c r="F671" s="34"/>
      <c r="G671" s="33"/>
      <c r="H671" s="35"/>
      <c r="I671" s="34"/>
      <c r="J671" s="34"/>
      <c r="K671" s="34"/>
      <c r="L671" s="33"/>
      <c r="M671" s="33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  <c r="AQ671" s="34"/>
      <c r="AR671" s="34"/>
      <c r="AS671" s="34"/>
    </row>
    <row r="672" spans="1:45" ht="14.4">
      <c r="A672" s="33"/>
      <c r="B672" s="33"/>
      <c r="C672" s="33"/>
      <c r="D672" s="34"/>
      <c r="E672" s="34"/>
      <c r="F672" s="34"/>
      <c r="G672" s="33"/>
      <c r="H672" s="35"/>
      <c r="I672" s="34"/>
      <c r="J672" s="34"/>
      <c r="K672" s="34"/>
      <c r="L672" s="33"/>
      <c r="M672" s="33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  <c r="AO672" s="34"/>
      <c r="AP672" s="34"/>
      <c r="AQ672" s="34"/>
      <c r="AR672" s="34"/>
      <c r="AS672" s="34"/>
    </row>
    <row r="673" spans="1:45" ht="14.4">
      <c r="A673" s="33"/>
      <c r="B673" s="33"/>
      <c r="C673" s="33"/>
      <c r="D673" s="34"/>
      <c r="E673" s="34"/>
      <c r="F673" s="34"/>
      <c r="G673" s="33"/>
      <c r="H673" s="35"/>
      <c r="I673" s="34"/>
      <c r="J673" s="34"/>
      <c r="K673" s="34"/>
      <c r="L673" s="33"/>
      <c r="M673" s="33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  <c r="AO673" s="34"/>
      <c r="AP673" s="34"/>
      <c r="AQ673" s="34"/>
      <c r="AR673" s="34"/>
      <c r="AS673" s="34"/>
    </row>
    <row r="674" spans="1:45" ht="14.4">
      <c r="A674" s="33"/>
      <c r="B674" s="33"/>
      <c r="C674" s="33"/>
      <c r="D674" s="34"/>
      <c r="E674" s="34"/>
      <c r="F674" s="34"/>
      <c r="G674" s="33"/>
      <c r="H674" s="35"/>
      <c r="I674" s="34"/>
      <c r="J674" s="34"/>
      <c r="K674" s="34"/>
      <c r="L674" s="33"/>
      <c r="M674" s="33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  <c r="AO674" s="34"/>
      <c r="AP674" s="34"/>
      <c r="AQ674" s="34"/>
      <c r="AR674" s="34"/>
      <c r="AS674" s="34"/>
    </row>
    <row r="675" spans="1:45" ht="14.4">
      <c r="A675" s="33"/>
      <c r="B675" s="33"/>
      <c r="C675" s="33"/>
      <c r="D675" s="34"/>
      <c r="E675" s="34"/>
      <c r="F675" s="34"/>
      <c r="G675" s="33"/>
      <c r="H675" s="35"/>
      <c r="I675" s="34"/>
      <c r="J675" s="34"/>
      <c r="K675" s="34"/>
      <c r="L675" s="33"/>
      <c r="M675" s="33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  <c r="AO675" s="34"/>
      <c r="AP675" s="34"/>
      <c r="AQ675" s="34"/>
      <c r="AR675" s="34"/>
      <c r="AS675" s="34"/>
    </row>
    <row r="676" spans="1:45" ht="14.4">
      <c r="A676" s="33"/>
      <c r="B676" s="33"/>
      <c r="C676" s="33"/>
      <c r="D676" s="34"/>
      <c r="E676" s="34"/>
      <c r="F676" s="34"/>
      <c r="G676" s="33"/>
      <c r="H676" s="35"/>
      <c r="I676" s="34"/>
      <c r="J676" s="34"/>
      <c r="K676" s="34"/>
      <c r="L676" s="33"/>
      <c r="M676" s="33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  <c r="AQ676" s="34"/>
      <c r="AR676" s="34"/>
      <c r="AS676" s="34"/>
    </row>
    <row r="677" spans="1:45" ht="14.4">
      <c r="A677" s="33"/>
      <c r="B677" s="33"/>
      <c r="C677" s="33"/>
      <c r="D677" s="34"/>
      <c r="E677" s="34"/>
      <c r="F677" s="34"/>
      <c r="G677" s="33"/>
      <c r="H677" s="35"/>
      <c r="I677" s="34"/>
      <c r="J677" s="34"/>
      <c r="K677" s="34"/>
      <c r="L677" s="33"/>
      <c r="M677" s="33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  <c r="AO677" s="34"/>
      <c r="AP677" s="34"/>
      <c r="AQ677" s="34"/>
      <c r="AR677" s="34"/>
      <c r="AS677" s="34"/>
    </row>
    <row r="678" spans="1:45" ht="14.4">
      <c r="A678" s="33"/>
      <c r="B678" s="33"/>
      <c r="C678" s="33"/>
      <c r="D678" s="34"/>
      <c r="E678" s="34"/>
      <c r="F678" s="34"/>
      <c r="G678" s="33"/>
      <c r="H678" s="35"/>
      <c r="I678" s="34"/>
      <c r="J678" s="34"/>
      <c r="K678" s="34"/>
      <c r="L678" s="33"/>
      <c r="M678" s="33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  <c r="AO678" s="34"/>
      <c r="AP678" s="34"/>
      <c r="AQ678" s="34"/>
      <c r="AR678" s="34"/>
      <c r="AS678" s="34"/>
    </row>
    <row r="679" spans="1:45" ht="14.4">
      <c r="A679" s="33"/>
      <c r="B679" s="33"/>
      <c r="C679" s="33"/>
      <c r="D679" s="34"/>
      <c r="E679" s="34"/>
      <c r="F679" s="34"/>
      <c r="G679" s="33"/>
      <c r="H679" s="35"/>
      <c r="I679" s="34"/>
      <c r="J679" s="34"/>
      <c r="K679" s="34"/>
      <c r="L679" s="33"/>
      <c r="M679" s="33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  <c r="AO679" s="34"/>
      <c r="AP679" s="34"/>
      <c r="AQ679" s="34"/>
      <c r="AR679" s="34"/>
      <c r="AS679" s="34"/>
    </row>
    <row r="680" spans="1:45" ht="14.4">
      <c r="A680" s="33"/>
      <c r="B680" s="33"/>
      <c r="C680" s="33"/>
      <c r="D680" s="34"/>
      <c r="E680" s="34"/>
      <c r="F680" s="34"/>
      <c r="G680" s="33"/>
      <c r="H680" s="35"/>
      <c r="I680" s="34"/>
      <c r="J680" s="34"/>
      <c r="K680" s="34"/>
      <c r="L680" s="33"/>
      <c r="M680" s="33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  <c r="AO680" s="34"/>
      <c r="AP680" s="34"/>
      <c r="AQ680" s="34"/>
      <c r="AR680" s="34"/>
      <c r="AS680" s="34"/>
    </row>
    <row r="681" spans="1:45" ht="14.4">
      <c r="A681" s="33"/>
      <c r="B681" s="33"/>
      <c r="C681" s="33"/>
      <c r="D681" s="34"/>
      <c r="E681" s="34"/>
      <c r="F681" s="34"/>
      <c r="G681" s="33"/>
      <c r="H681" s="35"/>
      <c r="I681" s="34"/>
      <c r="J681" s="34"/>
      <c r="K681" s="34"/>
      <c r="L681" s="33"/>
      <c r="M681" s="33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  <c r="AO681" s="34"/>
      <c r="AP681" s="34"/>
      <c r="AQ681" s="34"/>
      <c r="AR681" s="34"/>
      <c r="AS681" s="34"/>
    </row>
    <row r="682" spans="1:45" ht="14.4">
      <c r="A682" s="33"/>
      <c r="B682" s="33"/>
      <c r="C682" s="33"/>
      <c r="D682" s="34"/>
      <c r="E682" s="34"/>
      <c r="F682" s="34"/>
      <c r="G682" s="33"/>
      <c r="H682" s="35"/>
      <c r="I682" s="34"/>
      <c r="J682" s="34"/>
      <c r="K682" s="34"/>
      <c r="L682" s="33"/>
      <c r="M682" s="33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  <c r="AQ682" s="34"/>
      <c r="AR682" s="34"/>
      <c r="AS682" s="34"/>
    </row>
    <row r="683" spans="1:45" ht="14.4">
      <c r="A683" s="33"/>
      <c r="B683" s="33"/>
      <c r="C683" s="33"/>
      <c r="D683" s="34"/>
      <c r="E683" s="34"/>
      <c r="F683" s="34"/>
      <c r="G683" s="33"/>
      <c r="H683" s="35"/>
      <c r="I683" s="34"/>
      <c r="J683" s="34"/>
      <c r="K683" s="34"/>
      <c r="L683" s="33"/>
      <c r="M683" s="33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  <c r="AO683" s="34"/>
      <c r="AP683" s="34"/>
      <c r="AQ683" s="34"/>
      <c r="AR683" s="34"/>
      <c r="AS683" s="34"/>
    </row>
    <row r="684" spans="1:45" ht="14.4">
      <c r="A684" s="33"/>
      <c r="B684" s="33"/>
      <c r="C684" s="33"/>
      <c r="D684" s="34"/>
      <c r="E684" s="34"/>
      <c r="F684" s="34"/>
      <c r="G684" s="33"/>
      <c r="H684" s="35"/>
      <c r="I684" s="34"/>
      <c r="J684" s="34"/>
      <c r="K684" s="34"/>
      <c r="L684" s="33"/>
      <c r="M684" s="33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  <c r="AO684" s="34"/>
      <c r="AP684" s="34"/>
      <c r="AQ684" s="34"/>
      <c r="AR684" s="34"/>
      <c r="AS684" s="34"/>
    </row>
    <row r="685" spans="1:45" ht="14.4">
      <c r="A685" s="33"/>
      <c r="B685" s="33"/>
      <c r="C685" s="33"/>
      <c r="D685" s="34"/>
      <c r="E685" s="34"/>
      <c r="F685" s="34"/>
      <c r="G685" s="33"/>
      <c r="H685" s="35"/>
      <c r="I685" s="34"/>
      <c r="J685" s="34"/>
      <c r="K685" s="34"/>
      <c r="L685" s="33"/>
      <c r="M685" s="33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  <c r="AO685" s="34"/>
      <c r="AP685" s="34"/>
      <c r="AQ685" s="34"/>
      <c r="AR685" s="34"/>
      <c r="AS685" s="34"/>
    </row>
    <row r="686" spans="1:45" ht="14.4">
      <c r="A686" s="33"/>
      <c r="B686" s="33"/>
      <c r="C686" s="33"/>
      <c r="D686" s="34"/>
      <c r="E686" s="34"/>
      <c r="F686" s="34"/>
      <c r="G686" s="33"/>
      <c r="H686" s="35"/>
      <c r="I686" s="34"/>
      <c r="J686" s="34"/>
      <c r="K686" s="34"/>
      <c r="L686" s="33"/>
      <c r="M686" s="33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  <c r="AO686" s="34"/>
      <c r="AP686" s="34"/>
      <c r="AQ686" s="34"/>
      <c r="AR686" s="34"/>
      <c r="AS686" s="34"/>
    </row>
    <row r="687" spans="1:45" ht="14.4">
      <c r="A687" s="33"/>
      <c r="B687" s="33"/>
      <c r="C687" s="33"/>
      <c r="D687" s="34"/>
      <c r="E687" s="34"/>
      <c r="F687" s="34"/>
      <c r="G687" s="33"/>
      <c r="H687" s="35"/>
      <c r="I687" s="34"/>
      <c r="J687" s="34"/>
      <c r="K687" s="34"/>
      <c r="L687" s="33"/>
      <c r="M687" s="33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  <c r="AO687" s="34"/>
      <c r="AP687" s="34"/>
      <c r="AQ687" s="34"/>
      <c r="AR687" s="34"/>
      <c r="AS687" s="34"/>
    </row>
    <row r="688" spans="1:45" ht="14.4">
      <c r="A688" s="33"/>
      <c r="B688" s="33"/>
      <c r="C688" s="33"/>
      <c r="D688" s="34"/>
      <c r="E688" s="34"/>
      <c r="F688" s="34"/>
      <c r="G688" s="33"/>
      <c r="H688" s="35"/>
      <c r="I688" s="34"/>
      <c r="J688" s="34"/>
      <c r="K688" s="34"/>
      <c r="L688" s="33"/>
      <c r="M688" s="33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  <c r="AO688" s="34"/>
      <c r="AP688" s="34"/>
      <c r="AQ688" s="34"/>
      <c r="AR688" s="34"/>
      <c r="AS688" s="34"/>
    </row>
    <row r="689" spans="1:45" ht="14.4">
      <c r="A689" s="33"/>
      <c r="B689" s="33"/>
      <c r="C689" s="33"/>
      <c r="D689" s="34"/>
      <c r="E689" s="34"/>
      <c r="F689" s="34"/>
      <c r="G689" s="33"/>
      <c r="H689" s="35"/>
      <c r="I689" s="34"/>
      <c r="J689" s="34"/>
      <c r="K689" s="34"/>
      <c r="L689" s="33"/>
      <c r="M689" s="33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  <c r="AO689" s="34"/>
      <c r="AP689" s="34"/>
      <c r="AQ689" s="34"/>
      <c r="AR689" s="34"/>
      <c r="AS689" s="34"/>
    </row>
    <row r="690" spans="1:45" ht="14.4">
      <c r="A690" s="33"/>
      <c r="B690" s="33"/>
      <c r="C690" s="33"/>
      <c r="D690" s="34"/>
      <c r="E690" s="34"/>
      <c r="F690" s="34"/>
      <c r="G690" s="33"/>
      <c r="H690" s="35"/>
      <c r="I690" s="34"/>
      <c r="J690" s="34"/>
      <c r="K690" s="34"/>
      <c r="L690" s="33"/>
      <c r="M690" s="33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  <c r="AQ690" s="34"/>
      <c r="AR690" s="34"/>
      <c r="AS690" s="34"/>
    </row>
    <row r="691" spans="1:45" ht="14.4">
      <c r="A691" s="33"/>
      <c r="B691" s="33"/>
      <c r="C691" s="33"/>
      <c r="D691" s="34"/>
      <c r="E691" s="34"/>
      <c r="F691" s="34"/>
      <c r="G691" s="33"/>
      <c r="H691" s="35"/>
      <c r="I691" s="34"/>
      <c r="J691" s="34"/>
      <c r="K691" s="34"/>
      <c r="L691" s="33"/>
      <c r="M691" s="33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  <c r="AO691" s="34"/>
      <c r="AP691" s="34"/>
      <c r="AQ691" s="34"/>
      <c r="AR691" s="34"/>
      <c r="AS691" s="34"/>
    </row>
    <row r="692" spans="1:45" ht="14.4">
      <c r="A692" s="33"/>
      <c r="B692" s="33"/>
      <c r="C692" s="33"/>
      <c r="D692" s="34"/>
      <c r="E692" s="34"/>
      <c r="F692" s="34"/>
      <c r="G692" s="33"/>
      <c r="H692" s="35"/>
      <c r="I692" s="34"/>
      <c r="J692" s="34"/>
      <c r="K692" s="34"/>
      <c r="L692" s="33"/>
      <c r="M692" s="33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  <c r="AO692" s="34"/>
      <c r="AP692" s="34"/>
      <c r="AQ692" s="34"/>
      <c r="AR692" s="34"/>
      <c r="AS692" s="34"/>
    </row>
    <row r="693" spans="1:45" ht="14.4">
      <c r="A693" s="33"/>
      <c r="B693" s="33"/>
      <c r="C693" s="33"/>
      <c r="D693" s="34"/>
      <c r="E693" s="34"/>
      <c r="F693" s="34"/>
      <c r="G693" s="33"/>
      <c r="H693" s="35"/>
      <c r="I693" s="34"/>
      <c r="J693" s="34"/>
      <c r="K693" s="34"/>
      <c r="L693" s="33"/>
      <c r="M693" s="33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  <c r="AO693" s="34"/>
      <c r="AP693" s="34"/>
      <c r="AQ693" s="34"/>
      <c r="AR693" s="34"/>
      <c r="AS693" s="34"/>
    </row>
    <row r="694" spans="1:45" ht="14.4">
      <c r="A694" s="33"/>
      <c r="B694" s="33"/>
      <c r="C694" s="33"/>
      <c r="D694" s="34"/>
      <c r="E694" s="34"/>
      <c r="F694" s="34"/>
      <c r="G694" s="33"/>
      <c r="H694" s="35"/>
      <c r="I694" s="34"/>
      <c r="J694" s="34"/>
      <c r="K694" s="34"/>
      <c r="L694" s="33"/>
      <c r="M694" s="33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  <c r="AO694" s="34"/>
      <c r="AP694" s="34"/>
      <c r="AQ694" s="34"/>
      <c r="AR694" s="34"/>
      <c r="AS694" s="34"/>
    </row>
    <row r="695" spans="1:45" ht="14.4">
      <c r="A695" s="33"/>
      <c r="B695" s="33"/>
      <c r="C695" s="33"/>
      <c r="D695" s="34"/>
      <c r="E695" s="34"/>
      <c r="F695" s="34"/>
      <c r="G695" s="33"/>
      <c r="H695" s="35"/>
      <c r="I695" s="34"/>
      <c r="J695" s="34"/>
      <c r="K695" s="34"/>
      <c r="L695" s="33"/>
      <c r="M695" s="33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  <c r="AO695" s="34"/>
      <c r="AP695" s="34"/>
      <c r="AQ695" s="34"/>
      <c r="AR695" s="34"/>
      <c r="AS695" s="34"/>
    </row>
    <row r="696" spans="1:45" ht="14.4">
      <c r="A696" s="33"/>
      <c r="B696" s="33"/>
      <c r="C696" s="33"/>
      <c r="D696" s="34"/>
      <c r="E696" s="34"/>
      <c r="F696" s="34"/>
      <c r="G696" s="33"/>
      <c r="H696" s="35"/>
      <c r="I696" s="34"/>
      <c r="J696" s="34"/>
      <c r="K696" s="34"/>
      <c r="L696" s="33"/>
      <c r="M696" s="33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  <c r="AO696" s="34"/>
      <c r="AP696" s="34"/>
      <c r="AQ696" s="34"/>
      <c r="AR696" s="34"/>
      <c r="AS696" s="34"/>
    </row>
    <row r="697" spans="1:45" ht="14.4">
      <c r="A697" s="33"/>
      <c r="B697" s="33"/>
      <c r="C697" s="33"/>
      <c r="D697" s="34"/>
      <c r="E697" s="34"/>
      <c r="F697" s="34"/>
      <c r="G697" s="33"/>
      <c r="H697" s="35"/>
      <c r="I697" s="34"/>
      <c r="J697" s="34"/>
      <c r="K697" s="34"/>
      <c r="L697" s="33"/>
      <c r="M697" s="33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/>
      <c r="AQ697" s="34"/>
      <c r="AR697" s="34"/>
      <c r="AS697" s="34"/>
    </row>
    <row r="698" spans="1:45" ht="14.4">
      <c r="A698" s="33"/>
      <c r="B698" s="33"/>
      <c r="C698" s="33"/>
      <c r="D698" s="34"/>
      <c r="E698" s="34"/>
      <c r="F698" s="34"/>
      <c r="G698" s="33"/>
      <c r="H698" s="35"/>
      <c r="I698" s="34"/>
      <c r="J698" s="34"/>
      <c r="K698" s="34"/>
      <c r="L698" s="33"/>
      <c r="M698" s="33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  <c r="AO698" s="34"/>
      <c r="AP698" s="34"/>
      <c r="AQ698" s="34"/>
      <c r="AR698" s="34"/>
      <c r="AS698" s="34"/>
    </row>
    <row r="699" spans="1:45" ht="14.4">
      <c r="A699" s="33"/>
      <c r="B699" s="33"/>
      <c r="C699" s="33"/>
      <c r="D699" s="34"/>
      <c r="E699" s="34"/>
      <c r="F699" s="34"/>
      <c r="G699" s="33"/>
      <c r="H699" s="35"/>
      <c r="I699" s="34"/>
      <c r="J699" s="34"/>
      <c r="K699" s="34"/>
      <c r="L699" s="33"/>
      <c r="M699" s="33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  <c r="AO699" s="34"/>
      <c r="AP699" s="34"/>
      <c r="AQ699" s="34"/>
      <c r="AR699" s="34"/>
      <c r="AS699" s="34"/>
    </row>
    <row r="700" spans="1:45" ht="14.4">
      <c r="A700" s="33"/>
      <c r="B700" s="33"/>
      <c r="C700" s="33"/>
      <c r="D700" s="34"/>
      <c r="E700" s="34"/>
      <c r="F700" s="34"/>
      <c r="G700" s="33"/>
      <c r="H700" s="35"/>
      <c r="I700" s="34"/>
      <c r="J700" s="34"/>
      <c r="K700" s="34"/>
      <c r="L700" s="33"/>
      <c r="M700" s="33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  <c r="AO700" s="34"/>
      <c r="AP700" s="34"/>
      <c r="AQ700" s="34"/>
      <c r="AR700" s="34"/>
      <c r="AS700" s="34"/>
    </row>
    <row r="701" spans="1:45" ht="14.4">
      <c r="A701" s="33"/>
      <c r="B701" s="33"/>
      <c r="C701" s="33"/>
      <c r="D701" s="34"/>
      <c r="E701" s="34"/>
      <c r="F701" s="34"/>
      <c r="G701" s="33"/>
      <c r="H701" s="35"/>
      <c r="I701" s="34"/>
      <c r="J701" s="34"/>
      <c r="K701" s="34"/>
      <c r="L701" s="33"/>
      <c r="M701" s="33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  <c r="AO701" s="34"/>
      <c r="AP701" s="34"/>
      <c r="AQ701" s="34"/>
      <c r="AR701" s="34"/>
      <c r="AS701" s="34"/>
    </row>
    <row r="702" spans="1:45" ht="14.4">
      <c r="A702" s="33"/>
      <c r="B702" s="33"/>
      <c r="C702" s="33"/>
      <c r="D702" s="34"/>
      <c r="E702" s="34"/>
      <c r="F702" s="34"/>
      <c r="G702" s="33"/>
      <c r="H702" s="35"/>
      <c r="I702" s="34"/>
      <c r="J702" s="34"/>
      <c r="K702" s="34"/>
      <c r="L702" s="33"/>
      <c r="M702" s="33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  <c r="AO702" s="34"/>
      <c r="AP702" s="34"/>
      <c r="AQ702" s="34"/>
      <c r="AR702" s="34"/>
      <c r="AS702" s="34"/>
    </row>
    <row r="703" spans="1:45" ht="14.4">
      <c r="A703" s="33"/>
      <c r="B703" s="33"/>
      <c r="C703" s="33"/>
      <c r="D703" s="34"/>
      <c r="E703" s="34"/>
      <c r="F703" s="34"/>
      <c r="G703" s="33"/>
      <c r="H703" s="35"/>
      <c r="I703" s="34"/>
      <c r="J703" s="34"/>
      <c r="K703" s="34"/>
      <c r="L703" s="33"/>
      <c r="M703" s="33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  <c r="AO703" s="34"/>
      <c r="AP703" s="34"/>
      <c r="AQ703" s="34"/>
      <c r="AR703" s="34"/>
      <c r="AS703" s="34"/>
    </row>
    <row r="704" spans="1:45" ht="14.4">
      <c r="A704" s="33"/>
      <c r="B704" s="33"/>
      <c r="C704" s="33"/>
      <c r="D704" s="34"/>
      <c r="E704" s="34"/>
      <c r="F704" s="34"/>
      <c r="G704" s="33"/>
      <c r="H704" s="35"/>
      <c r="I704" s="34"/>
      <c r="J704" s="34"/>
      <c r="K704" s="34"/>
      <c r="L704" s="33"/>
      <c r="M704" s="33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  <c r="AO704" s="34"/>
      <c r="AP704" s="34"/>
      <c r="AQ704" s="34"/>
      <c r="AR704" s="34"/>
      <c r="AS704" s="34"/>
    </row>
    <row r="705" spans="1:45" ht="14.4">
      <c r="A705" s="33"/>
      <c r="B705" s="33"/>
      <c r="C705" s="33"/>
      <c r="D705" s="34"/>
      <c r="E705" s="34"/>
      <c r="F705" s="34"/>
      <c r="G705" s="33"/>
      <c r="H705" s="35"/>
      <c r="I705" s="34"/>
      <c r="J705" s="34"/>
      <c r="K705" s="34"/>
      <c r="L705" s="33"/>
      <c r="M705" s="33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  <c r="AO705" s="34"/>
      <c r="AP705" s="34"/>
      <c r="AQ705" s="34"/>
      <c r="AR705" s="34"/>
      <c r="AS705" s="34"/>
    </row>
    <row r="706" spans="1:45" ht="14.4">
      <c r="A706" s="33"/>
      <c r="B706" s="33"/>
      <c r="C706" s="33"/>
      <c r="D706" s="34"/>
      <c r="E706" s="34"/>
      <c r="F706" s="34"/>
      <c r="G706" s="33"/>
      <c r="H706" s="35"/>
      <c r="I706" s="34"/>
      <c r="J706" s="34"/>
      <c r="K706" s="34"/>
      <c r="L706" s="33"/>
      <c r="M706" s="33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  <c r="AO706" s="34"/>
      <c r="AP706" s="34"/>
      <c r="AQ706" s="34"/>
      <c r="AR706" s="34"/>
      <c r="AS706" s="34"/>
    </row>
    <row r="707" spans="1:45" ht="14.4">
      <c r="A707" s="33"/>
      <c r="B707" s="33"/>
      <c r="C707" s="33"/>
      <c r="D707" s="34"/>
      <c r="E707" s="34"/>
      <c r="F707" s="34"/>
      <c r="G707" s="33"/>
      <c r="H707" s="35"/>
      <c r="I707" s="34"/>
      <c r="J707" s="34"/>
      <c r="K707" s="34"/>
      <c r="L707" s="33"/>
      <c r="M707" s="33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</row>
    <row r="708" spans="1:45" ht="14.4">
      <c r="A708" s="33"/>
      <c r="B708" s="33"/>
      <c r="C708" s="33"/>
      <c r="D708" s="34"/>
      <c r="E708" s="34"/>
      <c r="F708" s="34"/>
      <c r="G708" s="33"/>
      <c r="H708" s="35"/>
      <c r="I708" s="34"/>
      <c r="J708" s="34"/>
      <c r="K708" s="34"/>
      <c r="L708" s="33"/>
      <c r="M708" s="33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</row>
    <row r="709" spans="1:45" ht="14.4">
      <c r="A709" s="33"/>
      <c r="B709" s="33"/>
      <c r="C709" s="33"/>
      <c r="D709" s="34"/>
      <c r="E709" s="34"/>
      <c r="F709" s="34"/>
      <c r="G709" s="33"/>
      <c r="H709" s="35"/>
      <c r="I709" s="34"/>
      <c r="J709" s="34"/>
      <c r="K709" s="34"/>
      <c r="L709" s="33"/>
      <c r="M709" s="33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</row>
    <row r="710" spans="1:45" ht="14.4">
      <c r="A710" s="33"/>
      <c r="B710" s="33"/>
      <c r="C710" s="33"/>
      <c r="D710" s="34"/>
      <c r="E710" s="34"/>
      <c r="F710" s="34"/>
      <c r="G710" s="33"/>
      <c r="H710" s="35"/>
      <c r="I710" s="34"/>
      <c r="J710" s="34"/>
      <c r="K710" s="34"/>
      <c r="L710" s="33"/>
      <c r="M710" s="33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</row>
    <row r="711" spans="1:45" ht="14.4">
      <c r="A711" s="33"/>
      <c r="B711" s="33"/>
      <c r="C711" s="33"/>
      <c r="D711" s="34"/>
      <c r="E711" s="34"/>
      <c r="F711" s="34"/>
      <c r="G711" s="33"/>
      <c r="H711" s="35"/>
      <c r="I711" s="34"/>
      <c r="J711" s="34"/>
      <c r="K711" s="34"/>
      <c r="L711" s="33"/>
      <c r="M711" s="33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</row>
    <row r="712" spans="1:45" ht="14.4">
      <c r="A712" s="33"/>
      <c r="B712" s="33"/>
      <c r="C712" s="33"/>
      <c r="D712" s="34"/>
      <c r="E712" s="34"/>
      <c r="F712" s="34"/>
      <c r="G712" s="33"/>
      <c r="H712" s="35"/>
      <c r="I712" s="34"/>
      <c r="J712" s="34"/>
      <c r="K712" s="34"/>
      <c r="L712" s="33"/>
      <c r="M712" s="33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</row>
    <row r="713" spans="1:45" ht="14.4">
      <c r="A713" s="33"/>
      <c r="B713" s="33"/>
      <c r="C713" s="33"/>
      <c r="D713" s="34"/>
      <c r="E713" s="34"/>
      <c r="F713" s="34"/>
      <c r="G713" s="33"/>
      <c r="H713" s="35"/>
      <c r="I713" s="34"/>
      <c r="J713" s="34"/>
      <c r="K713" s="34"/>
      <c r="L713" s="33"/>
      <c r="M713" s="33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</row>
    <row r="714" spans="1:45" ht="14.4">
      <c r="A714" s="33"/>
      <c r="B714" s="33"/>
      <c r="C714" s="33"/>
      <c r="D714" s="34"/>
      <c r="E714" s="34"/>
      <c r="F714" s="34"/>
      <c r="G714" s="33"/>
      <c r="H714" s="35"/>
      <c r="I714" s="34"/>
      <c r="J714" s="34"/>
      <c r="K714" s="34"/>
      <c r="L714" s="33"/>
      <c r="M714" s="33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</row>
    <row r="715" spans="1:45" ht="14.4">
      <c r="A715" s="33"/>
      <c r="B715" s="33"/>
      <c r="C715" s="33"/>
      <c r="D715" s="34"/>
      <c r="E715" s="34"/>
      <c r="F715" s="34"/>
      <c r="G715" s="33"/>
      <c r="H715" s="35"/>
      <c r="I715" s="34"/>
      <c r="J715" s="34"/>
      <c r="K715" s="34"/>
      <c r="L715" s="33"/>
      <c r="M715" s="33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  <c r="AO715" s="34"/>
      <c r="AP715" s="34"/>
      <c r="AQ715" s="34"/>
      <c r="AR715" s="34"/>
      <c r="AS715" s="34"/>
    </row>
    <row r="716" spans="1:45" ht="14.4">
      <c r="A716" s="33"/>
      <c r="B716" s="33"/>
      <c r="C716" s="33"/>
      <c r="D716" s="34"/>
      <c r="E716" s="34"/>
      <c r="F716" s="34"/>
      <c r="G716" s="33"/>
      <c r="H716" s="35"/>
      <c r="I716" s="34"/>
      <c r="J716" s="34"/>
      <c r="K716" s="34"/>
      <c r="L716" s="33"/>
      <c r="M716" s="33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  <c r="AO716" s="34"/>
      <c r="AP716" s="34"/>
      <c r="AQ716" s="34"/>
      <c r="AR716" s="34"/>
      <c r="AS716" s="34"/>
    </row>
    <row r="717" spans="1:45" ht="14.4">
      <c r="A717" s="33"/>
      <c r="B717" s="33"/>
      <c r="C717" s="33"/>
      <c r="D717" s="34"/>
      <c r="E717" s="34"/>
      <c r="F717" s="34"/>
      <c r="G717" s="33"/>
      <c r="H717" s="35"/>
      <c r="I717" s="34"/>
      <c r="J717" s="34"/>
      <c r="K717" s="34"/>
      <c r="L717" s="33"/>
      <c r="M717" s="33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  <c r="AO717" s="34"/>
      <c r="AP717" s="34"/>
      <c r="AQ717" s="34"/>
      <c r="AR717" s="34"/>
      <c r="AS717" s="34"/>
    </row>
    <row r="718" spans="1:45" ht="14.4">
      <c r="A718" s="33"/>
      <c r="B718" s="33"/>
      <c r="C718" s="33"/>
      <c r="D718" s="34"/>
      <c r="E718" s="34"/>
      <c r="F718" s="34"/>
      <c r="G718" s="33"/>
      <c r="H718" s="35"/>
      <c r="I718" s="34"/>
      <c r="J718" s="34"/>
      <c r="K718" s="34"/>
      <c r="L718" s="33"/>
      <c r="M718" s="33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  <c r="AO718" s="34"/>
      <c r="AP718" s="34"/>
      <c r="AQ718" s="34"/>
      <c r="AR718" s="34"/>
      <c r="AS718" s="34"/>
    </row>
    <row r="719" spans="1:45" ht="14.4">
      <c r="A719" s="33"/>
      <c r="B719" s="33"/>
      <c r="C719" s="33"/>
      <c r="D719" s="34"/>
      <c r="E719" s="34"/>
      <c r="F719" s="34"/>
      <c r="G719" s="33"/>
      <c r="H719" s="35"/>
      <c r="I719" s="34"/>
      <c r="J719" s="34"/>
      <c r="K719" s="34"/>
      <c r="L719" s="33"/>
      <c r="M719" s="33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  <c r="AO719" s="34"/>
      <c r="AP719" s="34"/>
      <c r="AQ719" s="34"/>
      <c r="AR719" s="34"/>
      <c r="AS719" s="34"/>
    </row>
    <row r="720" spans="1:45" ht="14.4">
      <c r="A720" s="33"/>
      <c r="B720" s="33"/>
      <c r="C720" s="33"/>
      <c r="D720" s="34"/>
      <c r="E720" s="34"/>
      <c r="F720" s="34"/>
      <c r="G720" s="33"/>
      <c r="H720" s="35"/>
      <c r="I720" s="34"/>
      <c r="J720" s="34"/>
      <c r="K720" s="34"/>
      <c r="L720" s="33"/>
      <c r="M720" s="33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  <c r="AO720" s="34"/>
      <c r="AP720" s="34"/>
      <c r="AQ720" s="34"/>
      <c r="AR720" s="34"/>
      <c r="AS720" s="34"/>
    </row>
    <row r="721" spans="1:45" ht="14.4">
      <c r="A721" s="33"/>
      <c r="B721" s="33"/>
      <c r="C721" s="33"/>
      <c r="D721" s="34"/>
      <c r="E721" s="34"/>
      <c r="F721" s="34"/>
      <c r="G721" s="33"/>
      <c r="H721" s="35"/>
      <c r="I721" s="34"/>
      <c r="J721" s="34"/>
      <c r="K721" s="34"/>
      <c r="L721" s="33"/>
      <c r="M721" s="33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  <c r="AO721" s="34"/>
      <c r="AP721" s="34"/>
      <c r="AQ721" s="34"/>
      <c r="AR721" s="34"/>
      <c r="AS721" s="34"/>
    </row>
    <row r="722" spans="1:45" ht="14.4">
      <c r="A722" s="33"/>
      <c r="B722" s="33"/>
      <c r="C722" s="33"/>
      <c r="D722" s="34"/>
      <c r="E722" s="34"/>
      <c r="F722" s="34"/>
      <c r="G722" s="33"/>
      <c r="H722" s="35"/>
      <c r="I722" s="34"/>
      <c r="J722" s="34"/>
      <c r="K722" s="34"/>
      <c r="L722" s="33"/>
      <c r="M722" s="33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  <c r="AO722" s="34"/>
      <c r="AP722" s="34"/>
      <c r="AQ722" s="34"/>
      <c r="AR722" s="34"/>
      <c r="AS722" s="34"/>
    </row>
    <row r="723" spans="1:45" ht="14.4">
      <c r="A723" s="33"/>
      <c r="B723" s="33"/>
      <c r="C723" s="33"/>
      <c r="D723" s="34"/>
      <c r="E723" s="34"/>
      <c r="F723" s="34"/>
      <c r="G723" s="33"/>
      <c r="H723" s="35"/>
      <c r="I723" s="34"/>
      <c r="J723" s="34"/>
      <c r="K723" s="34"/>
      <c r="L723" s="33"/>
      <c r="M723" s="33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  <c r="AO723" s="34"/>
      <c r="AP723" s="34"/>
      <c r="AQ723" s="34"/>
      <c r="AR723" s="34"/>
      <c r="AS723" s="34"/>
    </row>
    <row r="724" spans="1:45" ht="14.4">
      <c r="A724" s="33"/>
      <c r="B724" s="33"/>
      <c r="C724" s="33"/>
      <c r="D724" s="34"/>
      <c r="E724" s="34"/>
      <c r="F724" s="34"/>
      <c r="G724" s="33"/>
      <c r="H724" s="35"/>
      <c r="I724" s="34"/>
      <c r="J724" s="34"/>
      <c r="K724" s="34"/>
      <c r="L724" s="33"/>
      <c r="M724" s="33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  <c r="AO724" s="34"/>
      <c r="AP724" s="34"/>
      <c r="AQ724" s="34"/>
      <c r="AR724" s="34"/>
      <c r="AS724" s="34"/>
    </row>
    <row r="725" spans="1:45" ht="14.4">
      <c r="A725" s="33"/>
      <c r="B725" s="33"/>
      <c r="C725" s="33"/>
      <c r="D725" s="34"/>
      <c r="E725" s="34"/>
      <c r="F725" s="34"/>
      <c r="G725" s="33"/>
      <c r="H725" s="35"/>
      <c r="I725" s="34"/>
      <c r="J725" s="34"/>
      <c r="K725" s="34"/>
      <c r="L725" s="33"/>
      <c r="M725" s="33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  <c r="AO725" s="34"/>
      <c r="AP725" s="34"/>
      <c r="AQ725" s="34"/>
      <c r="AR725" s="34"/>
      <c r="AS725" s="34"/>
    </row>
    <row r="726" spans="1:45" ht="14.4">
      <c r="A726" s="33"/>
      <c r="B726" s="33"/>
      <c r="C726" s="33"/>
      <c r="D726" s="34"/>
      <c r="E726" s="34"/>
      <c r="F726" s="34"/>
      <c r="G726" s="33"/>
      <c r="H726" s="35"/>
      <c r="I726" s="34"/>
      <c r="J726" s="34"/>
      <c r="K726" s="34"/>
      <c r="L726" s="33"/>
      <c r="M726" s="33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  <c r="AO726" s="34"/>
      <c r="AP726" s="34"/>
      <c r="AQ726" s="34"/>
      <c r="AR726" s="34"/>
      <c r="AS726" s="34"/>
    </row>
    <row r="727" spans="1:45" ht="14.4">
      <c r="A727" s="33"/>
      <c r="B727" s="33"/>
      <c r="C727" s="33"/>
      <c r="D727" s="34"/>
      <c r="E727" s="34"/>
      <c r="F727" s="34"/>
      <c r="G727" s="33"/>
      <c r="H727" s="35"/>
      <c r="I727" s="34"/>
      <c r="J727" s="34"/>
      <c r="K727" s="34"/>
      <c r="L727" s="33"/>
      <c r="M727" s="33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  <c r="AO727" s="34"/>
      <c r="AP727" s="34"/>
      <c r="AQ727" s="34"/>
      <c r="AR727" s="34"/>
      <c r="AS727" s="34"/>
    </row>
    <row r="728" spans="1:45" ht="14.4">
      <c r="A728" s="33"/>
      <c r="B728" s="33"/>
      <c r="C728" s="33"/>
      <c r="D728" s="34"/>
      <c r="E728" s="34"/>
      <c r="F728" s="34"/>
      <c r="G728" s="33"/>
      <c r="H728" s="35"/>
      <c r="I728" s="34"/>
      <c r="J728" s="34"/>
      <c r="K728" s="34"/>
      <c r="L728" s="33"/>
      <c r="M728" s="33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  <c r="AO728" s="34"/>
      <c r="AP728" s="34"/>
      <c r="AQ728" s="34"/>
      <c r="AR728" s="34"/>
      <c r="AS728" s="34"/>
    </row>
    <row r="729" spans="1:45" ht="14.4">
      <c r="A729" s="33"/>
      <c r="B729" s="33"/>
      <c r="C729" s="33"/>
      <c r="D729" s="34"/>
      <c r="E729" s="34"/>
      <c r="F729" s="34"/>
      <c r="G729" s="33"/>
      <c r="H729" s="35"/>
      <c r="I729" s="34"/>
      <c r="J729" s="34"/>
      <c r="K729" s="34"/>
      <c r="L729" s="33"/>
      <c r="M729" s="33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  <c r="AO729" s="34"/>
      <c r="AP729" s="34"/>
      <c r="AQ729" s="34"/>
      <c r="AR729" s="34"/>
      <c r="AS729" s="34"/>
    </row>
    <row r="730" spans="1:45" ht="14.4">
      <c r="A730" s="33"/>
      <c r="B730" s="33"/>
      <c r="C730" s="33"/>
      <c r="D730" s="34"/>
      <c r="E730" s="34"/>
      <c r="F730" s="34"/>
      <c r="G730" s="33"/>
      <c r="H730" s="35"/>
      <c r="I730" s="34"/>
      <c r="J730" s="34"/>
      <c r="K730" s="34"/>
      <c r="L730" s="33"/>
      <c r="M730" s="33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  <c r="AO730" s="34"/>
      <c r="AP730" s="34"/>
      <c r="AQ730" s="34"/>
      <c r="AR730" s="34"/>
      <c r="AS730" s="34"/>
    </row>
    <row r="731" spans="1:45" ht="14.4">
      <c r="A731" s="33"/>
      <c r="B731" s="33"/>
      <c r="C731" s="33"/>
      <c r="D731" s="34"/>
      <c r="E731" s="34"/>
      <c r="F731" s="34"/>
      <c r="G731" s="33"/>
      <c r="H731" s="35"/>
      <c r="I731" s="34"/>
      <c r="J731" s="34"/>
      <c r="K731" s="34"/>
      <c r="L731" s="33"/>
      <c r="M731" s="33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  <c r="AO731" s="34"/>
      <c r="AP731" s="34"/>
      <c r="AQ731" s="34"/>
      <c r="AR731" s="34"/>
      <c r="AS731" s="34"/>
    </row>
    <row r="732" spans="1:45" ht="14.4">
      <c r="A732" s="33"/>
      <c r="B732" s="33"/>
      <c r="C732" s="33"/>
      <c r="D732" s="34"/>
      <c r="E732" s="34"/>
      <c r="F732" s="34"/>
      <c r="G732" s="33"/>
      <c r="H732" s="35"/>
      <c r="I732" s="34"/>
      <c r="J732" s="34"/>
      <c r="K732" s="34"/>
      <c r="L732" s="33"/>
      <c r="M732" s="33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  <c r="AO732" s="34"/>
      <c r="AP732" s="34"/>
      <c r="AQ732" s="34"/>
      <c r="AR732" s="34"/>
      <c r="AS732" s="34"/>
    </row>
    <row r="733" spans="1:45" ht="14.4">
      <c r="A733" s="33"/>
      <c r="B733" s="33"/>
      <c r="C733" s="33"/>
      <c r="D733" s="34"/>
      <c r="E733" s="34"/>
      <c r="F733" s="34"/>
      <c r="G733" s="33"/>
      <c r="H733" s="35"/>
      <c r="I733" s="34"/>
      <c r="J733" s="34"/>
      <c r="K733" s="34"/>
      <c r="L733" s="33"/>
      <c r="M733" s="33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  <c r="AO733" s="34"/>
      <c r="AP733" s="34"/>
      <c r="AQ733" s="34"/>
      <c r="AR733" s="34"/>
      <c r="AS733" s="34"/>
    </row>
    <row r="734" spans="1:45" ht="14.4">
      <c r="A734" s="33"/>
      <c r="B734" s="33"/>
      <c r="C734" s="33"/>
      <c r="D734" s="34"/>
      <c r="E734" s="34"/>
      <c r="F734" s="34"/>
      <c r="G734" s="33"/>
      <c r="H734" s="35"/>
      <c r="I734" s="34"/>
      <c r="J734" s="34"/>
      <c r="K734" s="34"/>
      <c r="L734" s="33"/>
      <c r="M734" s="33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  <c r="AO734" s="34"/>
      <c r="AP734" s="34"/>
      <c r="AQ734" s="34"/>
      <c r="AR734" s="34"/>
      <c r="AS734" s="34"/>
    </row>
    <row r="735" spans="1:45" ht="14.4">
      <c r="A735" s="33"/>
      <c r="B735" s="33"/>
      <c r="C735" s="33"/>
      <c r="D735" s="34"/>
      <c r="E735" s="34"/>
      <c r="F735" s="34"/>
      <c r="G735" s="33"/>
      <c r="H735" s="35"/>
      <c r="I735" s="34"/>
      <c r="J735" s="34"/>
      <c r="K735" s="34"/>
      <c r="L735" s="33"/>
      <c r="M735" s="33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  <c r="AO735" s="34"/>
      <c r="AP735" s="34"/>
      <c r="AQ735" s="34"/>
      <c r="AR735" s="34"/>
      <c r="AS735" s="34"/>
    </row>
    <row r="736" spans="1:45" ht="14.4">
      <c r="A736" s="33"/>
      <c r="B736" s="33"/>
      <c r="C736" s="33"/>
      <c r="D736" s="34"/>
      <c r="E736" s="34"/>
      <c r="F736" s="34"/>
      <c r="G736" s="33"/>
      <c r="H736" s="35"/>
      <c r="I736" s="34"/>
      <c r="J736" s="34"/>
      <c r="K736" s="34"/>
      <c r="L736" s="33"/>
      <c r="M736" s="33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  <c r="AO736" s="34"/>
      <c r="AP736" s="34"/>
      <c r="AQ736" s="34"/>
      <c r="AR736" s="34"/>
      <c r="AS736" s="34"/>
    </row>
    <row r="737" spans="1:45" ht="14.4">
      <c r="A737" s="33"/>
      <c r="B737" s="33"/>
      <c r="C737" s="33"/>
      <c r="D737" s="34"/>
      <c r="E737" s="34"/>
      <c r="F737" s="34"/>
      <c r="G737" s="33"/>
      <c r="H737" s="35"/>
      <c r="I737" s="34"/>
      <c r="J737" s="34"/>
      <c r="K737" s="34"/>
      <c r="L737" s="33"/>
      <c r="M737" s="33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  <c r="AO737" s="34"/>
      <c r="AP737" s="34"/>
      <c r="AQ737" s="34"/>
      <c r="AR737" s="34"/>
      <c r="AS737" s="34"/>
    </row>
    <row r="738" spans="1:45" ht="14.4">
      <c r="A738" s="33"/>
      <c r="B738" s="33"/>
      <c r="C738" s="33"/>
      <c r="D738" s="34"/>
      <c r="E738" s="34"/>
      <c r="F738" s="34"/>
      <c r="G738" s="33"/>
      <c r="H738" s="35"/>
      <c r="I738" s="34"/>
      <c r="J738" s="34"/>
      <c r="K738" s="34"/>
      <c r="L738" s="33"/>
      <c r="M738" s="33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  <c r="AO738" s="34"/>
      <c r="AP738" s="34"/>
      <c r="AQ738" s="34"/>
      <c r="AR738" s="34"/>
      <c r="AS738" s="34"/>
    </row>
    <row r="739" spans="1:45" ht="14.4">
      <c r="A739" s="33"/>
      <c r="B739" s="33"/>
      <c r="C739" s="33"/>
      <c r="D739" s="34"/>
      <c r="E739" s="34"/>
      <c r="F739" s="34"/>
      <c r="G739" s="33"/>
      <c r="H739" s="35"/>
      <c r="I739" s="34"/>
      <c r="J739" s="34"/>
      <c r="K739" s="34"/>
      <c r="L739" s="33"/>
      <c r="M739" s="33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  <c r="AO739" s="34"/>
      <c r="AP739" s="34"/>
      <c r="AQ739" s="34"/>
      <c r="AR739" s="34"/>
      <c r="AS739" s="34"/>
    </row>
    <row r="740" spans="1:45" ht="14.4">
      <c r="A740" s="33"/>
      <c r="B740" s="33"/>
      <c r="C740" s="33"/>
      <c r="D740" s="34"/>
      <c r="E740" s="34"/>
      <c r="F740" s="34"/>
      <c r="G740" s="33"/>
      <c r="H740" s="35"/>
      <c r="I740" s="34"/>
      <c r="J740" s="34"/>
      <c r="K740" s="34"/>
      <c r="L740" s="33"/>
      <c r="M740" s="33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  <c r="AO740" s="34"/>
      <c r="AP740" s="34"/>
      <c r="AQ740" s="34"/>
      <c r="AR740" s="34"/>
      <c r="AS740" s="34"/>
    </row>
    <row r="741" spans="1:45" ht="14.4">
      <c r="A741" s="33"/>
      <c r="B741" s="33"/>
      <c r="C741" s="33"/>
      <c r="D741" s="34"/>
      <c r="E741" s="34"/>
      <c r="F741" s="34"/>
      <c r="G741" s="33"/>
      <c r="H741" s="35"/>
      <c r="I741" s="34"/>
      <c r="J741" s="34"/>
      <c r="K741" s="34"/>
      <c r="L741" s="33"/>
      <c r="M741" s="33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  <c r="AO741" s="34"/>
      <c r="AP741" s="34"/>
      <c r="AQ741" s="34"/>
      <c r="AR741" s="34"/>
      <c r="AS741" s="34"/>
    </row>
    <row r="742" spans="1:45" ht="14.4">
      <c r="A742" s="33"/>
      <c r="B742" s="33"/>
      <c r="C742" s="33"/>
      <c r="D742" s="34"/>
      <c r="E742" s="34"/>
      <c r="F742" s="34"/>
      <c r="G742" s="33"/>
      <c r="H742" s="35"/>
      <c r="I742" s="34"/>
      <c r="J742" s="34"/>
      <c r="K742" s="34"/>
      <c r="L742" s="33"/>
      <c r="M742" s="33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  <c r="AO742" s="34"/>
      <c r="AP742" s="34"/>
      <c r="AQ742" s="34"/>
      <c r="AR742" s="34"/>
      <c r="AS742" s="34"/>
    </row>
    <row r="743" spans="1:45" ht="14.4">
      <c r="A743" s="33"/>
      <c r="B743" s="33"/>
      <c r="C743" s="33"/>
      <c r="D743" s="34"/>
      <c r="E743" s="34"/>
      <c r="F743" s="34"/>
      <c r="G743" s="33"/>
      <c r="H743" s="35"/>
      <c r="I743" s="34"/>
      <c r="J743" s="34"/>
      <c r="K743" s="34"/>
      <c r="L743" s="33"/>
      <c r="M743" s="33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  <c r="AO743" s="34"/>
      <c r="AP743" s="34"/>
      <c r="AQ743" s="34"/>
      <c r="AR743" s="34"/>
      <c r="AS743" s="34"/>
    </row>
    <row r="744" spans="1:45" ht="14.4">
      <c r="A744" s="33"/>
      <c r="B744" s="33"/>
      <c r="C744" s="33"/>
      <c r="D744" s="34"/>
      <c r="E744" s="34"/>
      <c r="F744" s="34"/>
      <c r="G744" s="33"/>
      <c r="H744" s="35"/>
      <c r="I744" s="34"/>
      <c r="J744" s="34"/>
      <c r="K744" s="34"/>
      <c r="L744" s="33"/>
      <c r="M744" s="33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  <c r="AO744" s="34"/>
      <c r="AP744" s="34"/>
      <c r="AQ744" s="34"/>
      <c r="AR744" s="34"/>
      <c r="AS744" s="34"/>
    </row>
    <row r="745" spans="1:45" ht="14.4">
      <c r="A745" s="33"/>
      <c r="B745" s="33"/>
      <c r="C745" s="33"/>
      <c r="D745" s="34"/>
      <c r="E745" s="34"/>
      <c r="F745" s="34"/>
      <c r="G745" s="33"/>
      <c r="H745" s="35"/>
      <c r="I745" s="34"/>
      <c r="J745" s="34"/>
      <c r="K745" s="34"/>
      <c r="L745" s="33"/>
      <c r="M745" s="33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  <c r="AO745" s="34"/>
      <c r="AP745" s="34"/>
      <c r="AQ745" s="34"/>
      <c r="AR745" s="34"/>
      <c r="AS745" s="34"/>
    </row>
    <row r="746" spans="1:45" ht="14.4">
      <c r="A746" s="33"/>
      <c r="B746" s="33"/>
      <c r="C746" s="33"/>
      <c r="D746" s="34"/>
      <c r="E746" s="34"/>
      <c r="F746" s="34"/>
      <c r="G746" s="33"/>
      <c r="H746" s="35"/>
      <c r="I746" s="34"/>
      <c r="J746" s="34"/>
      <c r="K746" s="34"/>
      <c r="L746" s="33"/>
      <c r="M746" s="33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  <c r="AO746" s="34"/>
      <c r="AP746" s="34"/>
      <c r="AQ746" s="34"/>
      <c r="AR746" s="34"/>
      <c r="AS746" s="34"/>
    </row>
    <row r="747" spans="1:45" ht="14.4">
      <c r="A747" s="33"/>
      <c r="B747" s="33"/>
      <c r="C747" s="33"/>
      <c r="D747" s="34"/>
      <c r="E747" s="34"/>
      <c r="F747" s="34"/>
      <c r="G747" s="33"/>
      <c r="H747" s="35"/>
      <c r="I747" s="34"/>
      <c r="J747" s="34"/>
      <c r="K747" s="34"/>
      <c r="L747" s="33"/>
      <c r="M747" s="33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  <c r="AO747" s="34"/>
      <c r="AP747" s="34"/>
      <c r="AQ747" s="34"/>
      <c r="AR747" s="34"/>
      <c r="AS747" s="34"/>
    </row>
    <row r="748" spans="1:45" ht="14.4">
      <c r="A748" s="33"/>
      <c r="B748" s="33"/>
      <c r="C748" s="33"/>
      <c r="D748" s="34"/>
      <c r="E748" s="34"/>
      <c r="F748" s="34"/>
      <c r="G748" s="33"/>
      <c r="H748" s="35"/>
      <c r="I748" s="34"/>
      <c r="J748" s="34"/>
      <c r="K748" s="34"/>
      <c r="L748" s="33"/>
      <c r="M748" s="33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  <c r="AO748" s="34"/>
      <c r="AP748" s="34"/>
      <c r="AQ748" s="34"/>
      <c r="AR748" s="34"/>
      <c r="AS748" s="34"/>
    </row>
    <row r="749" spans="1:45" ht="14.4">
      <c r="A749" s="33"/>
      <c r="B749" s="33"/>
      <c r="C749" s="33"/>
      <c r="D749" s="34"/>
      <c r="E749" s="34"/>
      <c r="F749" s="34"/>
      <c r="G749" s="33"/>
      <c r="H749" s="35"/>
      <c r="I749" s="34"/>
      <c r="J749" s="34"/>
      <c r="K749" s="34"/>
      <c r="L749" s="33"/>
      <c r="M749" s="33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  <c r="AO749" s="34"/>
      <c r="AP749" s="34"/>
      <c r="AQ749" s="34"/>
      <c r="AR749" s="34"/>
      <c r="AS749" s="34"/>
    </row>
    <row r="750" spans="1:45" ht="14.4">
      <c r="A750" s="33"/>
      <c r="B750" s="33"/>
      <c r="C750" s="33"/>
      <c r="D750" s="34"/>
      <c r="E750" s="34"/>
      <c r="F750" s="34"/>
      <c r="G750" s="33"/>
      <c r="H750" s="35"/>
      <c r="I750" s="34"/>
      <c r="J750" s="34"/>
      <c r="K750" s="34"/>
      <c r="L750" s="33"/>
      <c r="M750" s="33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  <c r="AO750" s="34"/>
      <c r="AP750" s="34"/>
      <c r="AQ750" s="34"/>
      <c r="AR750" s="34"/>
      <c r="AS750" s="34"/>
    </row>
    <row r="751" spans="1:45" ht="14.4">
      <c r="A751" s="33"/>
      <c r="B751" s="33"/>
      <c r="C751" s="33"/>
      <c r="D751" s="34"/>
      <c r="E751" s="34"/>
      <c r="F751" s="34"/>
      <c r="G751" s="33"/>
      <c r="H751" s="35"/>
      <c r="I751" s="34"/>
      <c r="J751" s="34"/>
      <c r="K751" s="34"/>
      <c r="L751" s="33"/>
      <c r="M751" s="33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  <c r="AO751" s="34"/>
      <c r="AP751" s="34"/>
      <c r="AQ751" s="34"/>
      <c r="AR751" s="34"/>
      <c r="AS751" s="34"/>
    </row>
    <row r="752" spans="1:45" ht="14.4">
      <c r="A752" s="33"/>
      <c r="B752" s="33"/>
      <c r="C752" s="33"/>
      <c r="D752" s="34"/>
      <c r="E752" s="34"/>
      <c r="F752" s="34"/>
      <c r="G752" s="33"/>
      <c r="H752" s="35"/>
      <c r="I752" s="34"/>
      <c r="J752" s="34"/>
      <c r="K752" s="34"/>
      <c r="L752" s="33"/>
      <c r="M752" s="33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  <c r="AO752" s="34"/>
      <c r="AP752" s="34"/>
      <c r="AQ752" s="34"/>
      <c r="AR752" s="34"/>
      <c r="AS752" s="34"/>
    </row>
    <row r="753" spans="1:45" ht="14.4">
      <c r="A753" s="33"/>
      <c r="B753" s="33"/>
      <c r="C753" s="33"/>
      <c r="D753" s="34"/>
      <c r="E753" s="34"/>
      <c r="F753" s="34"/>
      <c r="G753" s="33"/>
      <c r="H753" s="35"/>
      <c r="I753" s="34"/>
      <c r="J753" s="34"/>
      <c r="K753" s="34"/>
      <c r="L753" s="33"/>
      <c r="M753" s="33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  <c r="AO753" s="34"/>
      <c r="AP753" s="34"/>
      <c r="AQ753" s="34"/>
      <c r="AR753" s="34"/>
      <c r="AS753" s="34"/>
    </row>
    <row r="754" spans="1:45" ht="14.4">
      <c r="A754" s="33"/>
      <c r="B754" s="33"/>
      <c r="C754" s="33"/>
      <c r="D754" s="34"/>
      <c r="E754" s="34"/>
      <c r="F754" s="34"/>
      <c r="G754" s="33"/>
      <c r="H754" s="35"/>
      <c r="I754" s="34"/>
      <c r="J754" s="34"/>
      <c r="K754" s="34"/>
      <c r="L754" s="33"/>
      <c r="M754" s="33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  <c r="AO754" s="34"/>
      <c r="AP754" s="34"/>
      <c r="AQ754" s="34"/>
      <c r="AR754" s="34"/>
      <c r="AS754" s="34"/>
    </row>
    <row r="755" spans="1:45" ht="14.4">
      <c r="A755" s="33"/>
      <c r="B755" s="33"/>
      <c r="C755" s="33"/>
      <c r="D755" s="34"/>
      <c r="E755" s="34"/>
      <c r="F755" s="34"/>
      <c r="G755" s="33"/>
      <c r="H755" s="35"/>
      <c r="I755" s="34"/>
      <c r="J755" s="34"/>
      <c r="K755" s="34"/>
      <c r="L755" s="33"/>
      <c r="M755" s="33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  <c r="AO755" s="34"/>
      <c r="AP755" s="34"/>
      <c r="AQ755" s="34"/>
      <c r="AR755" s="34"/>
      <c r="AS755" s="34"/>
    </row>
    <row r="756" spans="1:45" ht="14.4">
      <c r="A756" s="33"/>
      <c r="B756" s="33"/>
      <c r="C756" s="33"/>
      <c r="D756" s="34"/>
      <c r="E756" s="34"/>
      <c r="F756" s="34"/>
      <c r="G756" s="33"/>
      <c r="H756" s="35"/>
      <c r="I756" s="34"/>
      <c r="J756" s="34"/>
      <c r="K756" s="34"/>
      <c r="L756" s="33"/>
      <c r="M756" s="33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  <c r="AO756" s="34"/>
      <c r="AP756" s="34"/>
      <c r="AQ756" s="34"/>
      <c r="AR756" s="34"/>
      <c r="AS756" s="34"/>
    </row>
    <row r="757" spans="1:45" ht="14.4">
      <c r="A757" s="33"/>
      <c r="B757" s="33"/>
      <c r="C757" s="33"/>
      <c r="D757" s="34"/>
      <c r="E757" s="34"/>
      <c r="F757" s="34"/>
      <c r="G757" s="33"/>
      <c r="H757" s="35"/>
      <c r="I757" s="34"/>
      <c r="J757" s="34"/>
      <c r="K757" s="34"/>
      <c r="L757" s="33"/>
      <c r="M757" s="33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  <c r="AO757" s="34"/>
      <c r="AP757" s="34"/>
      <c r="AQ757" s="34"/>
      <c r="AR757" s="34"/>
      <c r="AS757" s="34"/>
    </row>
    <row r="758" spans="1:45" ht="14.4">
      <c r="A758" s="33"/>
      <c r="B758" s="33"/>
      <c r="C758" s="33"/>
      <c r="D758" s="34"/>
      <c r="E758" s="34"/>
      <c r="F758" s="34"/>
      <c r="G758" s="33"/>
      <c r="H758" s="35"/>
      <c r="I758" s="34"/>
      <c r="J758" s="34"/>
      <c r="K758" s="34"/>
      <c r="L758" s="33"/>
      <c r="M758" s="33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  <c r="AO758" s="34"/>
      <c r="AP758" s="34"/>
      <c r="AQ758" s="34"/>
      <c r="AR758" s="34"/>
      <c r="AS758" s="34"/>
    </row>
    <row r="759" spans="1:45" ht="14.4">
      <c r="A759" s="33"/>
      <c r="B759" s="33"/>
      <c r="C759" s="33"/>
      <c r="D759" s="34"/>
      <c r="E759" s="34"/>
      <c r="F759" s="34"/>
      <c r="G759" s="33"/>
      <c r="H759" s="35"/>
      <c r="I759" s="34"/>
      <c r="J759" s="34"/>
      <c r="K759" s="34"/>
      <c r="L759" s="33"/>
      <c r="M759" s="33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  <c r="AO759" s="34"/>
      <c r="AP759" s="34"/>
      <c r="AQ759" s="34"/>
      <c r="AR759" s="34"/>
      <c r="AS759" s="34"/>
    </row>
    <row r="760" spans="1:45" ht="14.4">
      <c r="A760" s="33"/>
      <c r="B760" s="33"/>
      <c r="C760" s="33"/>
      <c r="D760" s="34"/>
      <c r="E760" s="34"/>
      <c r="F760" s="34"/>
      <c r="G760" s="33"/>
      <c r="H760" s="35"/>
      <c r="I760" s="34"/>
      <c r="J760" s="34"/>
      <c r="K760" s="34"/>
      <c r="L760" s="33"/>
      <c r="M760" s="33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  <c r="AO760" s="34"/>
      <c r="AP760" s="34"/>
      <c r="AQ760" s="34"/>
      <c r="AR760" s="34"/>
      <c r="AS760" s="34"/>
    </row>
    <row r="761" spans="1:45" ht="14.4">
      <c r="A761" s="33"/>
      <c r="B761" s="33"/>
      <c r="C761" s="33"/>
      <c r="D761" s="34"/>
      <c r="E761" s="34"/>
      <c r="F761" s="34"/>
      <c r="G761" s="33"/>
      <c r="H761" s="35"/>
      <c r="I761" s="34"/>
      <c r="J761" s="34"/>
      <c r="K761" s="34"/>
      <c r="L761" s="33"/>
      <c r="M761" s="33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  <c r="AO761" s="34"/>
      <c r="AP761" s="34"/>
      <c r="AQ761" s="34"/>
      <c r="AR761" s="34"/>
      <c r="AS761" s="34"/>
    </row>
    <row r="762" spans="1:45" ht="14.4">
      <c r="A762" s="33"/>
      <c r="B762" s="33"/>
      <c r="C762" s="33"/>
      <c r="D762" s="34"/>
      <c r="E762" s="34"/>
      <c r="F762" s="34"/>
      <c r="G762" s="33"/>
      <c r="H762" s="35"/>
      <c r="I762" s="34"/>
      <c r="J762" s="34"/>
      <c r="K762" s="34"/>
      <c r="L762" s="33"/>
      <c r="M762" s="33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  <c r="AO762" s="34"/>
      <c r="AP762" s="34"/>
      <c r="AQ762" s="34"/>
      <c r="AR762" s="34"/>
      <c r="AS762" s="34"/>
    </row>
    <row r="763" spans="1:45" ht="14.4">
      <c r="A763" s="33"/>
      <c r="B763" s="33"/>
      <c r="C763" s="33"/>
      <c r="D763" s="34"/>
      <c r="E763" s="34"/>
      <c r="F763" s="34"/>
      <c r="G763" s="33"/>
      <c r="H763" s="35"/>
      <c r="I763" s="34"/>
      <c r="J763" s="34"/>
      <c r="K763" s="34"/>
      <c r="L763" s="33"/>
      <c r="M763" s="33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  <c r="AO763" s="34"/>
      <c r="AP763" s="34"/>
      <c r="AQ763" s="34"/>
      <c r="AR763" s="34"/>
      <c r="AS763" s="34"/>
    </row>
    <row r="764" spans="1:45" ht="14.4">
      <c r="A764" s="33"/>
      <c r="B764" s="33"/>
      <c r="C764" s="33"/>
      <c r="D764" s="34"/>
      <c r="E764" s="34"/>
      <c r="F764" s="34"/>
      <c r="G764" s="33"/>
      <c r="H764" s="35"/>
      <c r="I764" s="34"/>
      <c r="J764" s="34"/>
      <c r="K764" s="34"/>
      <c r="L764" s="33"/>
      <c r="M764" s="33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  <c r="AO764" s="34"/>
      <c r="AP764" s="34"/>
      <c r="AQ764" s="34"/>
      <c r="AR764" s="34"/>
      <c r="AS764" s="34"/>
    </row>
    <row r="765" spans="1:45" ht="14.4">
      <c r="A765" s="33"/>
      <c r="B765" s="33"/>
      <c r="C765" s="33"/>
      <c r="D765" s="34"/>
      <c r="E765" s="34"/>
      <c r="F765" s="34"/>
      <c r="G765" s="33"/>
      <c r="H765" s="35"/>
      <c r="I765" s="34"/>
      <c r="J765" s="34"/>
      <c r="K765" s="34"/>
      <c r="L765" s="33"/>
      <c r="M765" s="33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  <c r="AO765" s="34"/>
      <c r="AP765" s="34"/>
      <c r="AQ765" s="34"/>
      <c r="AR765" s="34"/>
      <c r="AS765" s="34"/>
    </row>
    <row r="766" spans="1:45" ht="14.4">
      <c r="A766" s="33"/>
      <c r="B766" s="33"/>
      <c r="C766" s="33"/>
      <c r="D766" s="34"/>
      <c r="E766" s="34"/>
      <c r="F766" s="34"/>
      <c r="G766" s="33"/>
      <c r="H766" s="35"/>
      <c r="I766" s="34"/>
      <c r="J766" s="34"/>
      <c r="K766" s="34"/>
      <c r="L766" s="33"/>
      <c r="M766" s="33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  <c r="AO766" s="34"/>
      <c r="AP766" s="34"/>
      <c r="AQ766" s="34"/>
      <c r="AR766" s="34"/>
      <c r="AS766" s="34"/>
    </row>
    <row r="767" spans="1:45" ht="14.4">
      <c r="A767" s="33"/>
      <c r="B767" s="33"/>
      <c r="C767" s="33"/>
      <c r="D767" s="34"/>
      <c r="E767" s="34"/>
      <c r="F767" s="34"/>
      <c r="G767" s="33"/>
      <c r="H767" s="35"/>
      <c r="I767" s="34"/>
      <c r="J767" s="34"/>
      <c r="K767" s="34"/>
      <c r="L767" s="33"/>
      <c r="M767" s="33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  <c r="AO767" s="34"/>
      <c r="AP767" s="34"/>
      <c r="AQ767" s="34"/>
      <c r="AR767" s="34"/>
      <c r="AS767" s="34"/>
    </row>
    <row r="768" spans="1:45" ht="14.4">
      <c r="A768" s="33"/>
      <c r="B768" s="33"/>
      <c r="C768" s="33"/>
      <c r="D768" s="34"/>
      <c r="E768" s="34"/>
      <c r="F768" s="34"/>
      <c r="G768" s="33"/>
      <c r="H768" s="35"/>
      <c r="I768" s="34"/>
      <c r="J768" s="34"/>
      <c r="K768" s="34"/>
      <c r="L768" s="33"/>
      <c r="M768" s="33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  <c r="AO768" s="34"/>
      <c r="AP768" s="34"/>
      <c r="AQ768" s="34"/>
      <c r="AR768" s="34"/>
      <c r="AS768" s="34"/>
    </row>
    <row r="769" spans="1:45" ht="14.4">
      <c r="A769" s="33"/>
      <c r="B769" s="33"/>
      <c r="C769" s="33"/>
      <c r="D769" s="34"/>
      <c r="E769" s="34"/>
      <c r="F769" s="34"/>
      <c r="G769" s="33"/>
      <c r="H769" s="35"/>
      <c r="I769" s="34"/>
      <c r="J769" s="34"/>
      <c r="K769" s="34"/>
      <c r="L769" s="33"/>
      <c r="M769" s="33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  <c r="AO769" s="34"/>
      <c r="AP769" s="34"/>
      <c r="AQ769" s="34"/>
      <c r="AR769" s="34"/>
      <c r="AS769" s="34"/>
    </row>
    <row r="770" spans="1:45" ht="14.4">
      <c r="A770" s="33"/>
      <c r="B770" s="33"/>
      <c r="C770" s="33"/>
      <c r="D770" s="34"/>
      <c r="E770" s="34"/>
      <c r="F770" s="34"/>
      <c r="G770" s="33"/>
      <c r="H770" s="35"/>
      <c r="I770" s="34"/>
      <c r="J770" s="34"/>
      <c r="K770" s="34"/>
      <c r="L770" s="33"/>
      <c r="M770" s="33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  <c r="AO770" s="34"/>
      <c r="AP770" s="34"/>
      <c r="AQ770" s="34"/>
      <c r="AR770" s="34"/>
      <c r="AS770" s="34"/>
    </row>
    <row r="771" spans="1:45" ht="14.4">
      <c r="A771" s="33"/>
      <c r="B771" s="33"/>
      <c r="C771" s="33"/>
      <c r="D771" s="34"/>
      <c r="E771" s="34"/>
      <c r="F771" s="34"/>
      <c r="G771" s="33"/>
      <c r="H771" s="35"/>
      <c r="I771" s="34"/>
      <c r="J771" s="34"/>
      <c r="K771" s="34"/>
      <c r="L771" s="33"/>
      <c r="M771" s="33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  <c r="AO771" s="34"/>
      <c r="AP771" s="34"/>
      <c r="AQ771" s="34"/>
      <c r="AR771" s="34"/>
      <c r="AS771" s="34"/>
    </row>
    <row r="772" spans="1:45" ht="14.4">
      <c r="A772" s="33"/>
      <c r="B772" s="33"/>
      <c r="C772" s="33"/>
      <c r="D772" s="34"/>
      <c r="E772" s="34"/>
      <c r="F772" s="34"/>
      <c r="G772" s="33"/>
      <c r="H772" s="35"/>
      <c r="I772" s="34"/>
      <c r="J772" s="34"/>
      <c r="K772" s="34"/>
      <c r="L772" s="33"/>
      <c r="M772" s="33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  <c r="AO772" s="34"/>
      <c r="AP772" s="34"/>
      <c r="AQ772" s="34"/>
      <c r="AR772" s="34"/>
      <c r="AS772" s="34"/>
    </row>
    <row r="773" spans="1:45" ht="14.4">
      <c r="A773" s="33"/>
      <c r="B773" s="33"/>
      <c r="C773" s="33"/>
      <c r="D773" s="34"/>
      <c r="E773" s="34"/>
      <c r="F773" s="34"/>
      <c r="G773" s="33"/>
      <c r="H773" s="35"/>
      <c r="I773" s="34"/>
      <c r="J773" s="34"/>
      <c r="K773" s="34"/>
      <c r="L773" s="33"/>
      <c r="M773" s="33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  <c r="AO773" s="34"/>
      <c r="AP773" s="34"/>
      <c r="AQ773" s="34"/>
      <c r="AR773" s="34"/>
      <c r="AS773" s="34"/>
    </row>
    <row r="774" spans="1:45" ht="14.4">
      <c r="A774" s="33"/>
      <c r="B774" s="33"/>
      <c r="C774" s="33"/>
      <c r="D774" s="34"/>
      <c r="E774" s="34"/>
      <c r="F774" s="34"/>
      <c r="G774" s="33"/>
      <c r="H774" s="35"/>
      <c r="I774" s="34"/>
      <c r="J774" s="34"/>
      <c r="K774" s="34"/>
      <c r="L774" s="33"/>
      <c r="M774" s="33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  <c r="AO774" s="34"/>
      <c r="AP774" s="34"/>
      <c r="AQ774" s="34"/>
      <c r="AR774" s="34"/>
      <c r="AS774" s="34"/>
    </row>
    <row r="775" spans="1:45" ht="14.4">
      <c r="A775" s="33"/>
      <c r="B775" s="33"/>
      <c r="C775" s="33"/>
      <c r="D775" s="34"/>
      <c r="E775" s="34"/>
      <c r="F775" s="34"/>
      <c r="G775" s="33"/>
      <c r="H775" s="35"/>
      <c r="I775" s="34"/>
      <c r="J775" s="34"/>
      <c r="K775" s="34"/>
      <c r="L775" s="33"/>
      <c r="M775" s="33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  <c r="AO775" s="34"/>
      <c r="AP775" s="34"/>
      <c r="AQ775" s="34"/>
      <c r="AR775" s="34"/>
      <c r="AS775" s="34"/>
    </row>
    <row r="776" spans="1:45" ht="14.4">
      <c r="A776" s="33"/>
      <c r="B776" s="33"/>
      <c r="C776" s="33"/>
      <c r="D776" s="34"/>
      <c r="E776" s="34"/>
      <c r="F776" s="34"/>
      <c r="G776" s="33"/>
      <c r="H776" s="35"/>
      <c r="I776" s="34"/>
      <c r="J776" s="34"/>
      <c r="K776" s="34"/>
      <c r="L776" s="33"/>
      <c r="M776" s="33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  <c r="AO776" s="34"/>
      <c r="AP776" s="34"/>
      <c r="AQ776" s="34"/>
      <c r="AR776" s="34"/>
      <c r="AS776" s="34"/>
    </row>
    <row r="777" spans="1:45" ht="14.4">
      <c r="A777" s="33"/>
      <c r="B777" s="33"/>
      <c r="C777" s="33"/>
      <c r="D777" s="34"/>
      <c r="E777" s="34"/>
      <c r="F777" s="34"/>
      <c r="G777" s="33"/>
      <c r="H777" s="35"/>
      <c r="I777" s="34"/>
      <c r="J777" s="34"/>
      <c r="K777" s="34"/>
      <c r="L777" s="33"/>
      <c r="M777" s="33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  <c r="AO777" s="34"/>
      <c r="AP777" s="34"/>
      <c r="AQ777" s="34"/>
      <c r="AR777" s="34"/>
      <c r="AS777" s="34"/>
    </row>
    <row r="778" spans="1:45" ht="14.4">
      <c r="A778" s="33"/>
      <c r="B778" s="33"/>
      <c r="C778" s="33"/>
      <c r="D778" s="34"/>
      <c r="E778" s="34"/>
      <c r="F778" s="34"/>
      <c r="G778" s="33"/>
      <c r="H778" s="35"/>
      <c r="I778" s="34"/>
      <c r="J778" s="34"/>
      <c r="K778" s="34"/>
      <c r="L778" s="33"/>
      <c r="M778" s="33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  <c r="AO778" s="34"/>
      <c r="AP778" s="34"/>
      <c r="AQ778" s="34"/>
      <c r="AR778" s="34"/>
      <c r="AS778" s="34"/>
    </row>
    <row r="779" spans="1:45" ht="14.4">
      <c r="A779" s="33"/>
      <c r="B779" s="33"/>
      <c r="C779" s="33"/>
      <c r="D779" s="34"/>
      <c r="E779" s="34"/>
      <c r="F779" s="34"/>
      <c r="G779" s="33"/>
      <c r="H779" s="35"/>
      <c r="I779" s="34"/>
      <c r="J779" s="34"/>
      <c r="K779" s="34"/>
      <c r="L779" s="33"/>
      <c r="M779" s="33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  <c r="AO779" s="34"/>
      <c r="AP779" s="34"/>
      <c r="AQ779" s="34"/>
      <c r="AR779" s="34"/>
      <c r="AS779" s="34"/>
    </row>
    <row r="780" spans="1:45" ht="14.4">
      <c r="A780" s="33"/>
      <c r="B780" s="33"/>
      <c r="C780" s="33"/>
      <c r="D780" s="34"/>
      <c r="E780" s="34"/>
      <c r="F780" s="34"/>
      <c r="G780" s="33"/>
      <c r="H780" s="35"/>
      <c r="I780" s="34"/>
      <c r="J780" s="34"/>
      <c r="K780" s="34"/>
      <c r="L780" s="33"/>
      <c r="M780" s="33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  <c r="AO780" s="34"/>
      <c r="AP780" s="34"/>
      <c r="AQ780" s="34"/>
      <c r="AR780" s="34"/>
      <c r="AS780" s="34"/>
    </row>
    <row r="781" spans="1:45" ht="14.4">
      <c r="A781" s="33"/>
      <c r="B781" s="33"/>
      <c r="C781" s="33"/>
      <c r="D781" s="34"/>
      <c r="E781" s="34"/>
      <c r="F781" s="34"/>
      <c r="G781" s="33"/>
      <c r="H781" s="35"/>
      <c r="I781" s="34"/>
      <c r="J781" s="34"/>
      <c r="K781" s="34"/>
      <c r="L781" s="33"/>
      <c r="M781" s="33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  <c r="AO781" s="34"/>
      <c r="AP781" s="34"/>
      <c r="AQ781" s="34"/>
      <c r="AR781" s="34"/>
      <c r="AS781" s="34"/>
    </row>
    <row r="782" spans="1:45" ht="14.4">
      <c r="A782" s="33"/>
      <c r="B782" s="33"/>
      <c r="C782" s="33"/>
      <c r="D782" s="34"/>
      <c r="E782" s="34"/>
      <c r="F782" s="34"/>
      <c r="G782" s="33"/>
      <c r="H782" s="35"/>
      <c r="I782" s="34"/>
      <c r="J782" s="34"/>
      <c r="K782" s="34"/>
      <c r="L782" s="33"/>
      <c r="M782" s="33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  <c r="AO782" s="34"/>
      <c r="AP782" s="34"/>
      <c r="AQ782" s="34"/>
      <c r="AR782" s="34"/>
      <c r="AS782" s="34"/>
    </row>
    <row r="783" spans="1:45" ht="14.4">
      <c r="A783" s="33"/>
      <c r="B783" s="33"/>
      <c r="C783" s="33"/>
      <c r="D783" s="34"/>
      <c r="E783" s="34"/>
      <c r="F783" s="34"/>
      <c r="G783" s="33"/>
      <c r="H783" s="35"/>
      <c r="I783" s="34"/>
      <c r="J783" s="34"/>
      <c r="K783" s="34"/>
      <c r="L783" s="33"/>
      <c r="M783" s="33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  <c r="AO783" s="34"/>
      <c r="AP783" s="34"/>
      <c r="AQ783" s="34"/>
      <c r="AR783" s="34"/>
      <c r="AS783" s="34"/>
    </row>
    <row r="784" spans="1:45" ht="14.4">
      <c r="A784" s="33"/>
      <c r="B784" s="33"/>
      <c r="C784" s="33"/>
      <c r="D784" s="34"/>
      <c r="E784" s="34"/>
      <c r="F784" s="34"/>
      <c r="G784" s="33"/>
      <c r="H784" s="35"/>
      <c r="I784" s="34"/>
      <c r="J784" s="34"/>
      <c r="K784" s="34"/>
      <c r="L784" s="33"/>
      <c r="M784" s="33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  <c r="AO784" s="34"/>
      <c r="AP784" s="34"/>
      <c r="AQ784" s="34"/>
      <c r="AR784" s="34"/>
      <c r="AS784" s="34"/>
    </row>
    <row r="785" spans="1:45" ht="14.4">
      <c r="A785" s="33"/>
      <c r="B785" s="33"/>
      <c r="C785" s="33"/>
      <c r="D785" s="34"/>
      <c r="E785" s="34"/>
      <c r="F785" s="34"/>
      <c r="G785" s="33"/>
      <c r="H785" s="35"/>
      <c r="I785" s="34"/>
      <c r="J785" s="34"/>
      <c r="K785" s="34"/>
      <c r="L785" s="33"/>
      <c r="M785" s="33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  <c r="AO785" s="34"/>
      <c r="AP785" s="34"/>
      <c r="AQ785" s="34"/>
      <c r="AR785" s="34"/>
      <c r="AS785" s="34"/>
    </row>
    <row r="786" spans="1:45" ht="14.4">
      <c r="A786" s="33"/>
      <c r="B786" s="33"/>
      <c r="C786" s="33"/>
      <c r="D786" s="34"/>
      <c r="E786" s="34"/>
      <c r="F786" s="34"/>
      <c r="G786" s="33"/>
      <c r="H786" s="35"/>
      <c r="I786" s="34"/>
      <c r="J786" s="34"/>
      <c r="K786" s="34"/>
      <c r="L786" s="33"/>
      <c r="M786" s="33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  <c r="AO786" s="34"/>
      <c r="AP786" s="34"/>
      <c r="AQ786" s="34"/>
      <c r="AR786" s="34"/>
      <c r="AS786" s="34"/>
    </row>
    <row r="787" spans="1:45" ht="14.4">
      <c r="A787" s="33"/>
      <c r="B787" s="33"/>
      <c r="C787" s="33"/>
      <c r="D787" s="34"/>
      <c r="E787" s="34"/>
      <c r="F787" s="34"/>
      <c r="G787" s="33"/>
      <c r="H787" s="35"/>
      <c r="I787" s="34"/>
      <c r="J787" s="34"/>
      <c r="K787" s="34"/>
      <c r="L787" s="33"/>
      <c r="M787" s="33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  <c r="AO787" s="34"/>
      <c r="AP787" s="34"/>
      <c r="AQ787" s="34"/>
      <c r="AR787" s="34"/>
      <c r="AS787" s="34"/>
    </row>
    <row r="788" spans="1:45" ht="14.4">
      <c r="A788" s="33"/>
      <c r="B788" s="33"/>
      <c r="C788" s="33"/>
      <c r="D788" s="34"/>
      <c r="E788" s="34"/>
      <c r="F788" s="34"/>
      <c r="G788" s="33"/>
      <c r="H788" s="35"/>
      <c r="I788" s="34"/>
      <c r="J788" s="34"/>
      <c r="K788" s="34"/>
      <c r="L788" s="33"/>
      <c r="M788" s="33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  <c r="AO788" s="34"/>
      <c r="AP788" s="34"/>
      <c r="AQ788" s="34"/>
      <c r="AR788" s="34"/>
      <c r="AS788" s="34"/>
    </row>
    <row r="789" spans="1:45" ht="14.4">
      <c r="A789" s="33"/>
      <c r="B789" s="33"/>
      <c r="C789" s="33"/>
      <c r="D789" s="34"/>
      <c r="E789" s="34"/>
      <c r="F789" s="34"/>
      <c r="G789" s="33"/>
      <c r="H789" s="35"/>
      <c r="I789" s="34"/>
      <c r="J789" s="34"/>
      <c r="K789" s="34"/>
      <c r="L789" s="33"/>
      <c r="M789" s="33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  <c r="AO789" s="34"/>
      <c r="AP789" s="34"/>
      <c r="AQ789" s="34"/>
      <c r="AR789" s="34"/>
      <c r="AS789" s="34"/>
    </row>
    <row r="790" spans="1:45" ht="14.4">
      <c r="A790" s="33"/>
      <c r="B790" s="33"/>
      <c r="C790" s="33"/>
      <c r="D790" s="34"/>
      <c r="E790" s="34"/>
      <c r="F790" s="34"/>
      <c r="G790" s="33"/>
      <c r="H790" s="35"/>
      <c r="I790" s="34"/>
      <c r="J790" s="34"/>
      <c r="K790" s="34"/>
      <c r="L790" s="33"/>
      <c r="M790" s="33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  <c r="AO790" s="34"/>
      <c r="AP790" s="34"/>
      <c r="AQ790" s="34"/>
      <c r="AR790" s="34"/>
      <c r="AS790" s="34"/>
    </row>
    <row r="791" spans="1:45" ht="14.4">
      <c r="A791" s="33"/>
      <c r="B791" s="33"/>
      <c r="C791" s="33"/>
      <c r="D791" s="34"/>
      <c r="E791" s="34"/>
      <c r="F791" s="34"/>
      <c r="G791" s="33"/>
      <c r="H791" s="35"/>
      <c r="I791" s="34"/>
      <c r="J791" s="34"/>
      <c r="K791" s="34"/>
      <c r="L791" s="33"/>
      <c r="M791" s="33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  <c r="AO791" s="34"/>
      <c r="AP791" s="34"/>
      <c r="AQ791" s="34"/>
      <c r="AR791" s="34"/>
      <c r="AS791" s="34"/>
    </row>
    <row r="792" spans="1:45" ht="14.4">
      <c r="A792" s="33"/>
      <c r="B792" s="33"/>
      <c r="C792" s="33"/>
      <c r="D792" s="34"/>
      <c r="E792" s="34"/>
      <c r="F792" s="34"/>
      <c r="G792" s="33"/>
      <c r="H792" s="35"/>
      <c r="I792" s="34"/>
      <c r="J792" s="34"/>
      <c r="K792" s="34"/>
      <c r="L792" s="33"/>
      <c r="M792" s="33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  <c r="AO792" s="34"/>
      <c r="AP792" s="34"/>
      <c r="AQ792" s="34"/>
      <c r="AR792" s="34"/>
      <c r="AS792" s="34"/>
    </row>
    <row r="793" spans="1:45" ht="14.4">
      <c r="A793" s="33"/>
      <c r="B793" s="33"/>
      <c r="C793" s="33"/>
      <c r="D793" s="34"/>
      <c r="E793" s="34"/>
      <c r="F793" s="34"/>
      <c r="G793" s="33"/>
      <c r="H793" s="35"/>
      <c r="I793" s="34"/>
      <c r="J793" s="34"/>
      <c r="K793" s="34"/>
      <c r="L793" s="33"/>
      <c r="M793" s="33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  <c r="AO793" s="34"/>
      <c r="AP793" s="34"/>
      <c r="AQ793" s="34"/>
      <c r="AR793" s="34"/>
      <c r="AS793" s="34"/>
    </row>
    <row r="794" spans="1:45" ht="14.4">
      <c r="A794" s="33"/>
      <c r="B794" s="33"/>
      <c r="C794" s="33"/>
      <c r="D794" s="34"/>
      <c r="E794" s="34"/>
      <c r="F794" s="34"/>
      <c r="G794" s="33"/>
      <c r="H794" s="35"/>
      <c r="I794" s="34"/>
      <c r="J794" s="34"/>
      <c r="K794" s="34"/>
      <c r="L794" s="33"/>
      <c r="M794" s="33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  <c r="AO794" s="34"/>
      <c r="AP794" s="34"/>
      <c r="AQ794" s="34"/>
      <c r="AR794" s="34"/>
      <c r="AS794" s="34"/>
    </row>
    <row r="795" spans="1:45" ht="14.4">
      <c r="A795" s="33"/>
      <c r="B795" s="33"/>
      <c r="C795" s="33"/>
      <c r="D795" s="34"/>
      <c r="E795" s="34"/>
      <c r="F795" s="34"/>
      <c r="G795" s="33"/>
      <c r="H795" s="35"/>
      <c r="I795" s="34"/>
      <c r="J795" s="34"/>
      <c r="K795" s="34"/>
      <c r="L795" s="33"/>
      <c r="M795" s="33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  <c r="AO795" s="34"/>
      <c r="AP795" s="34"/>
      <c r="AQ795" s="34"/>
      <c r="AR795" s="34"/>
      <c r="AS795" s="34"/>
    </row>
    <row r="796" spans="1:45" ht="14.4">
      <c r="A796" s="33"/>
      <c r="B796" s="33"/>
      <c r="C796" s="33"/>
      <c r="D796" s="34"/>
      <c r="E796" s="34"/>
      <c r="F796" s="34"/>
      <c r="G796" s="33"/>
      <c r="H796" s="35"/>
      <c r="I796" s="34"/>
      <c r="J796" s="34"/>
      <c r="K796" s="34"/>
      <c r="L796" s="33"/>
      <c r="M796" s="33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  <c r="AO796" s="34"/>
      <c r="AP796" s="34"/>
      <c r="AQ796" s="34"/>
      <c r="AR796" s="34"/>
      <c r="AS796" s="34"/>
    </row>
    <row r="797" spans="1:45" ht="14.4">
      <c r="A797" s="33"/>
      <c r="B797" s="33"/>
      <c r="C797" s="33"/>
      <c r="D797" s="34"/>
      <c r="E797" s="34"/>
      <c r="F797" s="34"/>
      <c r="G797" s="33"/>
      <c r="H797" s="35"/>
      <c r="I797" s="34"/>
      <c r="J797" s="34"/>
      <c r="K797" s="34"/>
      <c r="L797" s="33"/>
      <c r="M797" s="33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  <c r="AO797" s="34"/>
      <c r="AP797" s="34"/>
      <c r="AQ797" s="34"/>
      <c r="AR797" s="34"/>
      <c r="AS797" s="34"/>
    </row>
    <row r="798" spans="1:45" ht="14.4">
      <c r="A798" s="33"/>
      <c r="B798" s="33"/>
      <c r="C798" s="33"/>
      <c r="D798" s="34"/>
      <c r="E798" s="34"/>
      <c r="F798" s="34"/>
      <c r="G798" s="33"/>
      <c r="H798" s="35"/>
      <c r="I798" s="34"/>
      <c r="J798" s="34"/>
      <c r="K798" s="34"/>
      <c r="L798" s="33"/>
      <c r="M798" s="33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  <c r="AO798" s="34"/>
      <c r="AP798" s="34"/>
      <c r="AQ798" s="34"/>
      <c r="AR798" s="34"/>
      <c r="AS798" s="34"/>
    </row>
    <row r="799" spans="1:45" ht="14.4">
      <c r="A799" s="33"/>
      <c r="B799" s="33"/>
      <c r="C799" s="33"/>
      <c r="D799" s="34"/>
      <c r="E799" s="34"/>
      <c r="F799" s="34"/>
      <c r="G799" s="33"/>
      <c r="H799" s="35"/>
      <c r="I799" s="34"/>
      <c r="J799" s="34"/>
      <c r="K799" s="34"/>
      <c r="L799" s="33"/>
      <c r="M799" s="33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</row>
    <row r="800" spans="1:45" ht="14.4">
      <c r="A800" s="33"/>
      <c r="B800" s="33"/>
      <c r="C800" s="33"/>
      <c r="D800" s="34"/>
      <c r="E800" s="34"/>
      <c r="F800" s="34"/>
      <c r="G800" s="33"/>
      <c r="H800" s="35"/>
      <c r="I800" s="34"/>
      <c r="J800" s="34"/>
      <c r="K800" s="34"/>
      <c r="L800" s="33"/>
      <c r="M800" s="33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  <c r="AO800" s="34"/>
      <c r="AP800" s="34"/>
      <c r="AQ800" s="34"/>
      <c r="AR800" s="34"/>
      <c r="AS800" s="34"/>
    </row>
    <row r="801" spans="1:45" ht="14.4">
      <c r="A801" s="33"/>
      <c r="B801" s="33"/>
      <c r="C801" s="33"/>
      <c r="D801" s="34"/>
      <c r="E801" s="34"/>
      <c r="F801" s="34"/>
      <c r="G801" s="33"/>
      <c r="H801" s="35"/>
      <c r="I801" s="34"/>
      <c r="J801" s="34"/>
      <c r="K801" s="34"/>
      <c r="L801" s="33"/>
      <c r="M801" s="33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  <c r="AO801" s="34"/>
      <c r="AP801" s="34"/>
      <c r="AQ801" s="34"/>
      <c r="AR801" s="34"/>
      <c r="AS801" s="34"/>
    </row>
    <row r="802" spans="1:45" ht="14.4">
      <c r="A802" s="33"/>
      <c r="B802" s="33"/>
      <c r="C802" s="33"/>
      <c r="D802" s="34"/>
      <c r="E802" s="34"/>
      <c r="F802" s="34"/>
      <c r="G802" s="33"/>
      <c r="H802" s="35"/>
      <c r="I802" s="34"/>
      <c r="J802" s="34"/>
      <c r="K802" s="34"/>
      <c r="L802" s="33"/>
      <c r="M802" s="33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  <c r="AO802" s="34"/>
      <c r="AP802" s="34"/>
      <c r="AQ802" s="34"/>
      <c r="AR802" s="34"/>
      <c r="AS802" s="34"/>
    </row>
    <row r="803" spans="1:45" ht="14.4">
      <c r="A803" s="33"/>
      <c r="B803" s="33"/>
      <c r="C803" s="33"/>
      <c r="D803" s="34"/>
      <c r="E803" s="34"/>
      <c r="F803" s="34"/>
      <c r="G803" s="33"/>
      <c r="H803" s="35"/>
      <c r="I803" s="34"/>
      <c r="J803" s="34"/>
      <c r="K803" s="34"/>
      <c r="L803" s="33"/>
      <c r="M803" s="33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  <c r="AO803" s="34"/>
      <c r="AP803" s="34"/>
      <c r="AQ803" s="34"/>
      <c r="AR803" s="34"/>
      <c r="AS803" s="34"/>
    </row>
    <row r="804" spans="1:45" ht="14.4">
      <c r="A804" s="33"/>
      <c r="B804" s="33"/>
      <c r="C804" s="33"/>
      <c r="D804" s="34"/>
      <c r="E804" s="34"/>
      <c r="F804" s="34"/>
      <c r="G804" s="33"/>
      <c r="H804" s="35"/>
      <c r="I804" s="34"/>
      <c r="J804" s="34"/>
      <c r="K804" s="34"/>
      <c r="L804" s="33"/>
      <c r="M804" s="33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  <c r="AO804" s="34"/>
      <c r="AP804" s="34"/>
      <c r="AQ804" s="34"/>
      <c r="AR804" s="34"/>
      <c r="AS804" s="34"/>
    </row>
    <row r="805" spans="1:45" ht="14.4">
      <c r="A805" s="33"/>
      <c r="B805" s="33"/>
      <c r="C805" s="33"/>
      <c r="D805" s="34"/>
      <c r="E805" s="34"/>
      <c r="F805" s="34"/>
      <c r="G805" s="33"/>
      <c r="H805" s="35"/>
      <c r="I805" s="34"/>
      <c r="J805" s="34"/>
      <c r="K805" s="34"/>
      <c r="L805" s="33"/>
      <c r="M805" s="33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  <c r="AO805" s="34"/>
      <c r="AP805" s="34"/>
      <c r="AQ805" s="34"/>
      <c r="AR805" s="34"/>
      <c r="AS805" s="34"/>
    </row>
    <row r="806" spans="1:45" ht="14.4">
      <c r="A806" s="33"/>
      <c r="B806" s="33"/>
      <c r="C806" s="33"/>
      <c r="D806" s="34"/>
      <c r="E806" s="34"/>
      <c r="F806" s="34"/>
      <c r="G806" s="33"/>
      <c r="H806" s="35"/>
      <c r="I806" s="34"/>
      <c r="J806" s="34"/>
      <c r="K806" s="34"/>
      <c r="L806" s="33"/>
      <c r="M806" s="33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  <c r="AO806" s="34"/>
      <c r="AP806" s="34"/>
      <c r="AQ806" s="34"/>
      <c r="AR806" s="34"/>
      <c r="AS806" s="34"/>
    </row>
    <row r="807" spans="1:45" ht="14.4">
      <c r="A807" s="33"/>
      <c r="B807" s="33"/>
      <c r="C807" s="33"/>
      <c r="D807" s="34"/>
      <c r="E807" s="34"/>
      <c r="F807" s="34"/>
      <c r="G807" s="33"/>
      <c r="H807" s="35"/>
      <c r="I807" s="34"/>
      <c r="J807" s="34"/>
      <c r="K807" s="34"/>
      <c r="L807" s="33"/>
      <c r="M807" s="33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  <c r="AO807" s="34"/>
      <c r="AP807" s="34"/>
      <c r="AQ807" s="34"/>
      <c r="AR807" s="34"/>
      <c r="AS807" s="34"/>
    </row>
    <row r="808" spans="1:45" ht="14.4">
      <c r="A808" s="33"/>
      <c r="B808" s="33"/>
      <c r="C808" s="33"/>
      <c r="D808" s="34"/>
      <c r="E808" s="34"/>
      <c r="F808" s="34"/>
      <c r="G808" s="33"/>
      <c r="H808" s="35"/>
      <c r="I808" s="34"/>
      <c r="J808" s="34"/>
      <c r="K808" s="34"/>
      <c r="L808" s="33"/>
      <c r="M808" s="33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  <c r="AO808" s="34"/>
      <c r="AP808" s="34"/>
      <c r="AQ808" s="34"/>
      <c r="AR808" s="34"/>
      <c r="AS808" s="34"/>
    </row>
    <row r="809" spans="1:45" ht="14.4">
      <c r="A809" s="33"/>
      <c r="B809" s="33"/>
      <c r="C809" s="33"/>
      <c r="D809" s="34"/>
      <c r="E809" s="34"/>
      <c r="F809" s="34"/>
      <c r="G809" s="33"/>
      <c r="H809" s="35"/>
      <c r="I809" s="34"/>
      <c r="J809" s="34"/>
      <c r="K809" s="34"/>
      <c r="L809" s="33"/>
      <c r="M809" s="33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  <c r="AO809" s="34"/>
      <c r="AP809" s="34"/>
      <c r="AQ809" s="34"/>
      <c r="AR809" s="34"/>
      <c r="AS809" s="34"/>
    </row>
    <row r="810" spans="1:45" ht="14.4">
      <c r="A810" s="33"/>
      <c r="B810" s="33"/>
      <c r="C810" s="33"/>
      <c r="D810" s="34"/>
      <c r="E810" s="34"/>
      <c r="F810" s="34"/>
      <c r="G810" s="33"/>
      <c r="H810" s="35"/>
      <c r="I810" s="34"/>
      <c r="J810" s="34"/>
      <c r="K810" s="34"/>
      <c r="L810" s="33"/>
      <c r="M810" s="33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  <c r="AO810" s="34"/>
      <c r="AP810" s="34"/>
      <c r="AQ810" s="34"/>
      <c r="AR810" s="34"/>
      <c r="AS810" s="34"/>
    </row>
    <row r="811" spans="1:45" ht="14.4">
      <c r="A811" s="33"/>
      <c r="B811" s="33"/>
      <c r="C811" s="33"/>
      <c r="D811" s="34"/>
      <c r="E811" s="34"/>
      <c r="F811" s="34"/>
      <c r="G811" s="33"/>
      <c r="H811" s="35"/>
      <c r="I811" s="34"/>
      <c r="J811" s="34"/>
      <c r="K811" s="34"/>
      <c r="L811" s="33"/>
      <c r="M811" s="33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  <c r="AO811" s="34"/>
      <c r="AP811" s="34"/>
      <c r="AQ811" s="34"/>
      <c r="AR811" s="34"/>
      <c r="AS811" s="34"/>
    </row>
    <row r="812" spans="1:45" ht="14.4">
      <c r="A812" s="33"/>
      <c r="B812" s="33"/>
      <c r="C812" s="33"/>
      <c r="D812" s="34"/>
      <c r="E812" s="34"/>
      <c r="F812" s="34"/>
      <c r="G812" s="33"/>
      <c r="H812" s="35"/>
      <c r="I812" s="34"/>
      <c r="J812" s="34"/>
      <c r="K812" s="34"/>
      <c r="L812" s="33"/>
      <c r="M812" s="33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  <c r="AO812" s="34"/>
      <c r="AP812" s="34"/>
      <c r="AQ812" s="34"/>
      <c r="AR812" s="34"/>
      <c r="AS812" s="34"/>
    </row>
    <row r="813" spans="1:45" ht="14.4">
      <c r="A813" s="33"/>
      <c r="B813" s="33"/>
      <c r="C813" s="33"/>
      <c r="D813" s="34"/>
      <c r="E813" s="34"/>
      <c r="F813" s="34"/>
      <c r="G813" s="33"/>
      <c r="H813" s="35"/>
      <c r="I813" s="34"/>
      <c r="J813" s="34"/>
      <c r="K813" s="34"/>
      <c r="L813" s="33"/>
      <c r="M813" s="33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  <c r="AO813" s="34"/>
      <c r="AP813" s="34"/>
      <c r="AQ813" s="34"/>
      <c r="AR813" s="34"/>
      <c r="AS813" s="34"/>
    </row>
    <row r="814" spans="1:45" ht="14.4">
      <c r="A814" s="33"/>
      <c r="B814" s="33"/>
      <c r="C814" s="33"/>
      <c r="D814" s="34"/>
      <c r="E814" s="34"/>
      <c r="F814" s="34"/>
      <c r="G814" s="33"/>
      <c r="H814" s="35"/>
      <c r="I814" s="34"/>
      <c r="J814" s="34"/>
      <c r="K814" s="34"/>
      <c r="L814" s="33"/>
      <c r="M814" s="33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  <c r="AO814" s="34"/>
      <c r="AP814" s="34"/>
      <c r="AQ814" s="34"/>
      <c r="AR814" s="34"/>
      <c r="AS814" s="34"/>
    </row>
    <row r="815" spans="1:45" ht="14.4">
      <c r="A815" s="33"/>
      <c r="B815" s="33"/>
      <c r="C815" s="33"/>
      <c r="D815" s="34"/>
      <c r="E815" s="34"/>
      <c r="F815" s="34"/>
      <c r="G815" s="33"/>
      <c r="H815" s="35"/>
      <c r="I815" s="34"/>
      <c r="J815" s="34"/>
      <c r="K815" s="34"/>
      <c r="L815" s="33"/>
      <c r="M815" s="33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  <c r="AO815" s="34"/>
      <c r="AP815" s="34"/>
      <c r="AQ815" s="34"/>
      <c r="AR815" s="34"/>
      <c r="AS815" s="34"/>
    </row>
    <row r="816" spans="1:45" ht="14.4">
      <c r="A816" s="33"/>
      <c r="B816" s="33"/>
      <c r="C816" s="33"/>
      <c r="D816" s="34"/>
      <c r="E816" s="34"/>
      <c r="F816" s="34"/>
      <c r="G816" s="33"/>
      <c r="H816" s="35"/>
      <c r="I816" s="34"/>
      <c r="J816" s="34"/>
      <c r="K816" s="34"/>
      <c r="L816" s="33"/>
      <c r="M816" s="33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  <c r="AO816" s="34"/>
      <c r="AP816" s="34"/>
      <c r="AQ816" s="34"/>
      <c r="AR816" s="34"/>
      <c r="AS816" s="34"/>
    </row>
    <row r="817" spans="1:45" ht="14.4">
      <c r="A817" s="33"/>
      <c r="B817" s="33"/>
      <c r="C817" s="33"/>
      <c r="D817" s="34"/>
      <c r="E817" s="34"/>
      <c r="F817" s="34"/>
      <c r="G817" s="33"/>
      <c r="H817" s="35"/>
      <c r="I817" s="34"/>
      <c r="J817" s="34"/>
      <c r="K817" s="34"/>
      <c r="L817" s="33"/>
      <c r="M817" s="33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  <c r="AO817" s="34"/>
      <c r="AP817" s="34"/>
      <c r="AQ817" s="34"/>
      <c r="AR817" s="34"/>
      <c r="AS817" s="34"/>
    </row>
    <row r="818" spans="1:45" ht="14.4">
      <c r="A818" s="33"/>
      <c r="B818" s="33"/>
      <c r="C818" s="33"/>
      <c r="D818" s="34"/>
      <c r="E818" s="34"/>
      <c r="F818" s="34"/>
      <c r="G818" s="33"/>
      <c r="H818" s="35"/>
      <c r="I818" s="34"/>
      <c r="J818" s="34"/>
      <c r="K818" s="34"/>
      <c r="L818" s="33"/>
      <c r="M818" s="33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  <c r="AO818" s="34"/>
      <c r="AP818" s="34"/>
      <c r="AQ818" s="34"/>
      <c r="AR818" s="34"/>
      <c r="AS818" s="34"/>
    </row>
    <row r="819" spans="1:45" ht="14.4">
      <c r="A819" s="33"/>
      <c r="B819" s="33"/>
      <c r="C819" s="33"/>
      <c r="D819" s="34"/>
      <c r="E819" s="34"/>
      <c r="F819" s="34"/>
      <c r="G819" s="33"/>
      <c r="H819" s="35"/>
      <c r="I819" s="34"/>
      <c r="J819" s="34"/>
      <c r="K819" s="34"/>
      <c r="L819" s="33"/>
      <c r="M819" s="33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  <c r="AO819" s="34"/>
      <c r="AP819" s="34"/>
      <c r="AQ819" s="34"/>
      <c r="AR819" s="34"/>
      <c r="AS819" s="34"/>
    </row>
    <row r="820" spans="1:45" ht="14.4">
      <c r="A820" s="33"/>
      <c r="B820" s="33"/>
      <c r="C820" s="33"/>
      <c r="D820" s="34"/>
      <c r="E820" s="34"/>
      <c r="F820" s="34"/>
      <c r="G820" s="33"/>
      <c r="H820" s="35"/>
      <c r="I820" s="34"/>
      <c r="J820" s="34"/>
      <c r="K820" s="34"/>
      <c r="L820" s="33"/>
      <c r="M820" s="33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  <c r="AO820" s="34"/>
      <c r="AP820" s="34"/>
      <c r="AQ820" s="34"/>
      <c r="AR820" s="34"/>
      <c r="AS820" s="34"/>
    </row>
    <row r="821" spans="1:45" ht="14.4">
      <c r="A821" s="33"/>
      <c r="B821" s="33"/>
      <c r="C821" s="33"/>
      <c r="D821" s="34"/>
      <c r="E821" s="34"/>
      <c r="F821" s="34"/>
      <c r="G821" s="33"/>
      <c r="H821" s="35"/>
      <c r="I821" s="34"/>
      <c r="J821" s="34"/>
      <c r="K821" s="34"/>
      <c r="L821" s="33"/>
      <c r="M821" s="33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  <c r="AO821" s="34"/>
      <c r="AP821" s="34"/>
      <c r="AQ821" s="34"/>
      <c r="AR821" s="34"/>
      <c r="AS821" s="34"/>
    </row>
    <row r="822" spans="1:45" ht="14.4">
      <c r="A822" s="33"/>
      <c r="B822" s="33"/>
      <c r="C822" s="33"/>
      <c r="D822" s="34"/>
      <c r="E822" s="34"/>
      <c r="F822" s="34"/>
      <c r="G822" s="33"/>
      <c r="H822" s="35"/>
      <c r="I822" s="34"/>
      <c r="J822" s="34"/>
      <c r="K822" s="34"/>
      <c r="L822" s="33"/>
      <c r="M822" s="33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  <c r="AO822" s="34"/>
      <c r="AP822" s="34"/>
      <c r="AQ822" s="34"/>
      <c r="AR822" s="34"/>
      <c r="AS822" s="34"/>
    </row>
    <row r="823" spans="1:45" ht="14.4">
      <c r="A823" s="33"/>
      <c r="B823" s="33"/>
      <c r="C823" s="33"/>
      <c r="D823" s="34"/>
      <c r="E823" s="34"/>
      <c r="F823" s="34"/>
      <c r="G823" s="33"/>
      <c r="H823" s="35"/>
      <c r="I823" s="34"/>
      <c r="J823" s="34"/>
      <c r="K823" s="34"/>
      <c r="L823" s="33"/>
      <c r="M823" s="33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  <c r="AO823" s="34"/>
      <c r="AP823" s="34"/>
      <c r="AQ823" s="34"/>
      <c r="AR823" s="34"/>
      <c r="AS823" s="34"/>
    </row>
    <row r="824" spans="1:45" ht="14.4">
      <c r="A824" s="33"/>
      <c r="B824" s="33"/>
      <c r="C824" s="33"/>
      <c r="D824" s="34"/>
      <c r="E824" s="34"/>
      <c r="F824" s="34"/>
      <c r="G824" s="33"/>
      <c r="H824" s="35"/>
      <c r="I824" s="34"/>
      <c r="J824" s="34"/>
      <c r="K824" s="34"/>
      <c r="L824" s="33"/>
      <c r="M824" s="33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  <c r="AO824" s="34"/>
      <c r="AP824" s="34"/>
      <c r="AQ824" s="34"/>
      <c r="AR824" s="34"/>
      <c r="AS824" s="34"/>
    </row>
    <row r="825" spans="1:45" ht="14.4">
      <c r="A825" s="33"/>
      <c r="B825" s="33"/>
      <c r="C825" s="33"/>
      <c r="D825" s="34"/>
      <c r="E825" s="34"/>
      <c r="F825" s="34"/>
      <c r="G825" s="33"/>
      <c r="H825" s="35"/>
      <c r="I825" s="34"/>
      <c r="J825" s="34"/>
      <c r="K825" s="34"/>
      <c r="L825" s="33"/>
      <c r="M825" s="33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  <c r="AO825" s="34"/>
      <c r="AP825" s="34"/>
      <c r="AQ825" s="34"/>
      <c r="AR825" s="34"/>
      <c r="AS825" s="34"/>
    </row>
    <row r="826" spans="1:45" ht="14.4">
      <c r="A826" s="33"/>
      <c r="B826" s="33"/>
      <c r="C826" s="33"/>
      <c r="D826" s="34"/>
      <c r="E826" s="34"/>
      <c r="F826" s="34"/>
      <c r="G826" s="33"/>
      <c r="H826" s="35"/>
      <c r="I826" s="34"/>
      <c r="J826" s="34"/>
      <c r="K826" s="34"/>
      <c r="L826" s="33"/>
      <c r="M826" s="33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  <c r="AO826" s="34"/>
      <c r="AP826" s="34"/>
      <c r="AQ826" s="34"/>
      <c r="AR826" s="34"/>
      <c r="AS826" s="34"/>
    </row>
    <row r="827" spans="1:45" ht="14.4">
      <c r="A827" s="33"/>
      <c r="B827" s="33"/>
      <c r="C827" s="33"/>
      <c r="D827" s="34"/>
      <c r="E827" s="34"/>
      <c r="F827" s="34"/>
      <c r="G827" s="33"/>
      <c r="H827" s="35"/>
      <c r="I827" s="34"/>
      <c r="J827" s="34"/>
      <c r="K827" s="34"/>
      <c r="L827" s="33"/>
      <c r="M827" s="33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  <c r="AO827" s="34"/>
      <c r="AP827" s="34"/>
      <c r="AQ827" s="34"/>
      <c r="AR827" s="34"/>
      <c r="AS827" s="34"/>
    </row>
    <row r="828" spans="1:45" ht="14.4">
      <c r="A828" s="33"/>
      <c r="B828" s="33"/>
      <c r="C828" s="33"/>
      <c r="D828" s="34"/>
      <c r="E828" s="34"/>
      <c r="F828" s="34"/>
      <c r="G828" s="33"/>
      <c r="H828" s="35"/>
      <c r="I828" s="34"/>
      <c r="J828" s="34"/>
      <c r="K828" s="34"/>
      <c r="L828" s="33"/>
      <c r="M828" s="33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  <c r="AO828" s="34"/>
      <c r="AP828" s="34"/>
      <c r="AQ828" s="34"/>
      <c r="AR828" s="34"/>
      <c r="AS828" s="34"/>
    </row>
    <row r="829" spans="1:45" ht="14.4">
      <c r="A829" s="33"/>
      <c r="B829" s="33"/>
      <c r="C829" s="33"/>
      <c r="D829" s="34"/>
      <c r="E829" s="34"/>
      <c r="F829" s="34"/>
      <c r="G829" s="33"/>
      <c r="H829" s="35"/>
      <c r="I829" s="34"/>
      <c r="J829" s="34"/>
      <c r="K829" s="34"/>
      <c r="L829" s="33"/>
      <c r="M829" s="33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  <c r="AO829" s="34"/>
      <c r="AP829" s="34"/>
      <c r="AQ829" s="34"/>
      <c r="AR829" s="34"/>
      <c r="AS829" s="34"/>
    </row>
    <row r="830" spans="1:45" ht="14.4">
      <c r="A830" s="33"/>
      <c r="B830" s="33"/>
      <c r="C830" s="33"/>
      <c r="D830" s="34"/>
      <c r="E830" s="34"/>
      <c r="F830" s="34"/>
      <c r="G830" s="33"/>
      <c r="H830" s="35"/>
      <c r="I830" s="34"/>
      <c r="J830" s="34"/>
      <c r="K830" s="34"/>
      <c r="L830" s="33"/>
      <c r="M830" s="33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  <c r="AO830" s="34"/>
      <c r="AP830" s="34"/>
      <c r="AQ830" s="34"/>
      <c r="AR830" s="34"/>
      <c r="AS830" s="34"/>
    </row>
    <row r="831" spans="1:45" ht="14.4">
      <c r="A831" s="33"/>
      <c r="B831" s="33"/>
      <c r="C831" s="33"/>
      <c r="D831" s="34"/>
      <c r="E831" s="34"/>
      <c r="F831" s="34"/>
      <c r="G831" s="33"/>
      <c r="H831" s="35"/>
      <c r="I831" s="34"/>
      <c r="J831" s="34"/>
      <c r="K831" s="34"/>
      <c r="L831" s="33"/>
      <c r="M831" s="33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  <c r="AO831" s="34"/>
      <c r="AP831" s="34"/>
      <c r="AQ831" s="34"/>
      <c r="AR831" s="34"/>
      <c r="AS831" s="34"/>
    </row>
    <row r="832" spans="1:45" ht="14.4">
      <c r="A832" s="33"/>
      <c r="B832" s="33"/>
      <c r="C832" s="33"/>
      <c r="D832" s="34"/>
      <c r="E832" s="34"/>
      <c r="F832" s="34"/>
      <c r="G832" s="33"/>
      <c r="H832" s="35"/>
      <c r="I832" s="34"/>
      <c r="J832" s="34"/>
      <c r="K832" s="34"/>
      <c r="L832" s="33"/>
      <c r="M832" s="33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  <c r="AO832" s="34"/>
      <c r="AP832" s="34"/>
      <c r="AQ832" s="34"/>
      <c r="AR832" s="34"/>
      <c r="AS832" s="34"/>
    </row>
    <row r="833" spans="1:45" ht="14.4">
      <c r="A833" s="33"/>
      <c r="B833" s="33"/>
      <c r="C833" s="33"/>
      <c r="D833" s="34"/>
      <c r="E833" s="34"/>
      <c r="F833" s="34"/>
      <c r="G833" s="33"/>
      <c r="H833" s="35"/>
      <c r="I833" s="34"/>
      <c r="J833" s="34"/>
      <c r="K833" s="34"/>
      <c r="L833" s="33"/>
      <c r="M833" s="33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  <c r="AO833" s="34"/>
      <c r="AP833" s="34"/>
      <c r="AQ833" s="34"/>
      <c r="AR833" s="34"/>
      <c r="AS833" s="34"/>
    </row>
    <row r="834" spans="1:45" ht="14.4">
      <c r="A834" s="33"/>
      <c r="B834" s="33"/>
      <c r="C834" s="33"/>
      <c r="D834" s="34"/>
      <c r="E834" s="34"/>
      <c r="F834" s="34"/>
      <c r="G834" s="33"/>
      <c r="H834" s="35"/>
      <c r="I834" s="34"/>
      <c r="J834" s="34"/>
      <c r="K834" s="34"/>
      <c r="L834" s="33"/>
      <c r="M834" s="33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  <c r="AO834" s="34"/>
      <c r="AP834" s="34"/>
      <c r="AQ834" s="34"/>
      <c r="AR834" s="34"/>
      <c r="AS834" s="34"/>
    </row>
    <row r="835" spans="1:45" ht="14.4">
      <c r="A835" s="33"/>
      <c r="B835" s="33"/>
      <c r="C835" s="33"/>
      <c r="D835" s="34"/>
      <c r="E835" s="34"/>
      <c r="F835" s="34"/>
      <c r="G835" s="33"/>
      <c r="H835" s="35"/>
      <c r="I835" s="34"/>
      <c r="J835" s="34"/>
      <c r="K835" s="34"/>
      <c r="L835" s="33"/>
      <c r="M835" s="33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  <c r="AO835" s="34"/>
      <c r="AP835" s="34"/>
      <c r="AQ835" s="34"/>
      <c r="AR835" s="34"/>
      <c r="AS835" s="34"/>
    </row>
    <row r="836" spans="1:45" ht="14.4">
      <c r="A836" s="33"/>
      <c r="B836" s="33"/>
      <c r="C836" s="33"/>
      <c r="D836" s="34"/>
      <c r="E836" s="34"/>
      <c r="F836" s="34"/>
      <c r="G836" s="33"/>
      <c r="H836" s="35"/>
      <c r="I836" s="34"/>
      <c r="J836" s="34"/>
      <c r="K836" s="34"/>
      <c r="L836" s="33"/>
      <c r="M836" s="33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  <c r="AO836" s="34"/>
      <c r="AP836" s="34"/>
      <c r="AQ836" s="34"/>
      <c r="AR836" s="34"/>
      <c r="AS836" s="34"/>
    </row>
    <row r="837" spans="1:45" ht="14.4">
      <c r="A837" s="33"/>
      <c r="B837" s="33"/>
      <c r="C837" s="33"/>
      <c r="D837" s="34"/>
      <c r="E837" s="34"/>
      <c r="F837" s="34"/>
      <c r="G837" s="33"/>
      <c r="H837" s="35"/>
      <c r="I837" s="34"/>
      <c r="J837" s="34"/>
      <c r="K837" s="34"/>
      <c r="L837" s="33"/>
      <c r="M837" s="33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  <c r="AO837" s="34"/>
      <c r="AP837" s="34"/>
      <c r="AQ837" s="34"/>
      <c r="AR837" s="34"/>
      <c r="AS837" s="34"/>
    </row>
    <row r="838" spans="1:45" ht="14.4">
      <c r="A838" s="33"/>
      <c r="B838" s="33"/>
      <c r="C838" s="33"/>
      <c r="D838" s="34"/>
      <c r="E838" s="34"/>
      <c r="F838" s="34"/>
      <c r="G838" s="33"/>
      <c r="H838" s="35"/>
      <c r="I838" s="34"/>
      <c r="J838" s="34"/>
      <c r="K838" s="34"/>
      <c r="L838" s="33"/>
      <c r="M838" s="33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  <c r="AQ838" s="34"/>
      <c r="AR838" s="34"/>
      <c r="AS838" s="34"/>
    </row>
    <row r="839" spans="1:45" ht="14.4">
      <c r="A839" s="33"/>
      <c r="B839" s="33"/>
      <c r="C839" s="33"/>
      <c r="D839" s="34"/>
      <c r="E839" s="34"/>
      <c r="F839" s="34"/>
      <c r="G839" s="33"/>
      <c r="H839" s="35"/>
      <c r="I839" s="34"/>
      <c r="J839" s="34"/>
      <c r="K839" s="34"/>
      <c r="L839" s="33"/>
      <c r="M839" s="33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  <c r="AQ839" s="34"/>
      <c r="AR839" s="34"/>
      <c r="AS839" s="34"/>
    </row>
    <row r="840" spans="1:45" ht="14.4">
      <c r="A840" s="33"/>
      <c r="B840" s="33"/>
      <c r="C840" s="33"/>
      <c r="D840" s="34"/>
      <c r="E840" s="34"/>
      <c r="F840" s="34"/>
      <c r="G840" s="33"/>
      <c r="H840" s="35"/>
      <c r="I840" s="34"/>
      <c r="J840" s="34"/>
      <c r="K840" s="34"/>
      <c r="L840" s="33"/>
      <c r="M840" s="33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/>
      <c r="AQ840" s="34"/>
      <c r="AR840" s="34"/>
      <c r="AS840" s="34"/>
    </row>
    <row r="841" spans="1:45" ht="14.4">
      <c r="A841" s="33"/>
      <c r="B841" s="33"/>
      <c r="C841" s="33"/>
      <c r="D841" s="34"/>
      <c r="E841" s="34"/>
      <c r="F841" s="34"/>
      <c r="G841" s="33"/>
      <c r="H841" s="35"/>
      <c r="I841" s="34"/>
      <c r="J841" s="34"/>
      <c r="K841" s="34"/>
      <c r="L841" s="33"/>
      <c r="M841" s="33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  <c r="AQ841" s="34"/>
      <c r="AR841" s="34"/>
      <c r="AS841" s="34"/>
    </row>
    <row r="842" spans="1:45" ht="14.4">
      <c r="A842" s="33"/>
      <c r="B842" s="33"/>
      <c r="C842" s="33"/>
      <c r="D842" s="34"/>
      <c r="E842" s="34"/>
      <c r="F842" s="34"/>
      <c r="G842" s="33"/>
      <c r="H842" s="35"/>
      <c r="I842" s="34"/>
      <c r="J842" s="34"/>
      <c r="K842" s="34"/>
      <c r="L842" s="33"/>
      <c r="M842" s="33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  <c r="AO842" s="34"/>
      <c r="AP842" s="34"/>
      <c r="AQ842" s="34"/>
      <c r="AR842" s="34"/>
      <c r="AS842" s="34"/>
    </row>
    <row r="843" spans="1:45" ht="14.4">
      <c r="A843" s="33"/>
      <c r="B843" s="33"/>
      <c r="C843" s="33"/>
      <c r="D843" s="34"/>
      <c r="E843" s="34"/>
      <c r="F843" s="34"/>
      <c r="G843" s="33"/>
      <c r="H843" s="35"/>
      <c r="I843" s="34"/>
      <c r="J843" s="34"/>
      <c r="K843" s="34"/>
      <c r="L843" s="33"/>
      <c r="M843" s="33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34"/>
      <c r="AR843" s="34"/>
      <c r="AS843" s="34"/>
    </row>
    <row r="844" spans="1:45" ht="14.4">
      <c r="A844" s="33"/>
      <c r="B844" s="33"/>
      <c r="C844" s="33"/>
      <c r="D844" s="34"/>
      <c r="E844" s="34"/>
      <c r="F844" s="34"/>
      <c r="G844" s="33"/>
      <c r="H844" s="35"/>
      <c r="I844" s="34"/>
      <c r="J844" s="34"/>
      <c r="K844" s="34"/>
      <c r="L844" s="33"/>
      <c r="M844" s="33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  <c r="AQ844" s="34"/>
      <c r="AR844" s="34"/>
      <c r="AS844" s="34"/>
    </row>
    <row r="845" spans="1:45" ht="14.4">
      <c r="A845" s="33"/>
      <c r="B845" s="33"/>
      <c r="C845" s="33"/>
      <c r="D845" s="34"/>
      <c r="E845" s="34"/>
      <c r="F845" s="34"/>
      <c r="G845" s="33"/>
      <c r="H845" s="35"/>
      <c r="I845" s="34"/>
      <c r="J845" s="34"/>
      <c r="K845" s="34"/>
      <c r="L845" s="33"/>
      <c r="M845" s="33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  <c r="AQ845" s="34"/>
      <c r="AR845" s="34"/>
      <c r="AS845" s="34"/>
    </row>
    <row r="846" spans="1:45" ht="14.4">
      <c r="A846" s="33"/>
      <c r="B846" s="33"/>
      <c r="C846" s="33"/>
      <c r="D846" s="34"/>
      <c r="E846" s="34"/>
      <c r="F846" s="34"/>
      <c r="G846" s="33"/>
      <c r="H846" s="35"/>
      <c r="I846" s="34"/>
      <c r="J846" s="34"/>
      <c r="K846" s="34"/>
      <c r="L846" s="33"/>
      <c r="M846" s="33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  <c r="AO846" s="34"/>
      <c r="AP846" s="34"/>
      <c r="AQ846" s="34"/>
      <c r="AR846" s="34"/>
      <c r="AS846" s="34"/>
    </row>
    <row r="847" spans="1:45" ht="14.4">
      <c r="A847" s="33"/>
      <c r="B847" s="33"/>
      <c r="C847" s="33"/>
      <c r="D847" s="34"/>
      <c r="E847" s="34"/>
      <c r="F847" s="34"/>
      <c r="G847" s="33"/>
      <c r="H847" s="35"/>
      <c r="I847" s="34"/>
      <c r="J847" s="34"/>
      <c r="K847" s="34"/>
      <c r="L847" s="33"/>
      <c r="M847" s="33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  <c r="AQ847" s="34"/>
      <c r="AR847" s="34"/>
      <c r="AS847" s="34"/>
    </row>
    <row r="848" spans="1:45" ht="14.4">
      <c r="A848" s="33"/>
      <c r="B848" s="33"/>
      <c r="C848" s="33"/>
      <c r="D848" s="34"/>
      <c r="E848" s="34"/>
      <c r="F848" s="34"/>
      <c r="G848" s="33"/>
      <c r="H848" s="35"/>
      <c r="I848" s="34"/>
      <c r="J848" s="34"/>
      <c r="K848" s="34"/>
      <c r="L848" s="33"/>
      <c r="M848" s="33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  <c r="AO848" s="34"/>
      <c r="AP848" s="34"/>
      <c r="AQ848" s="34"/>
      <c r="AR848" s="34"/>
      <c r="AS848" s="34"/>
    </row>
    <row r="849" spans="1:45" ht="14.4">
      <c r="A849" s="33"/>
      <c r="B849" s="33"/>
      <c r="C849" s="33"/>
      <c r="D849" s="34"/>
      <c r="E849" s="34"/>
      <c r="F849" s="34"/>
      <c r="G849" s="33"/>
      <c r="H849" s="35"/>
      <c r="I849" s="34"/>
      <c r="J849" s="34"/>
      <c r="K849" s="34"/>
      <c r="L849" s="33"/>
      <c r="M849" s="33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  <c r="AO849" s="34"/>
      <c r="AP849" s="34"/>
      <c r="AQ849" s="34"/>
      <c r="AR849" s="34"/>
      <c r="AS849" s="34"/>
    </row>
    <row r="850" spans="1:45" ht="14.4">
      <c r="A850" s="33"/>
      <c r="B850" s="33"/>
      <c r="C850" s="33"/>
      <c r="D850" s="34"/>
      <c r="E850" s="34"/>
      <c r="F850" s="34"/>
      <c r="G850" s="33"/>
      <c r="H850" s="35"/>
      <c r="I850" s="34"/>
      <c r="J850" s="34"/>
      <c r="K850" s="34"/>
      <c r="L850" s="33"/>
      <c r="M850" s="33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  <c r="AO850" s="34"/>
      <c r="AP850" s="34"/>
      <c r="AQ850" s="34"/>
      <c r="AR850" s="34"/>
      <c r="AS850" s="34"/>
    </row>
    <row r="851" spans="1:45" ht="14.4">
      <c r="A851" s="33"/>
      <c r="B851" s="33"/>
      <c r="C851" s="33"/>
      <c r="D851" s="34"/>
      <c r="E851" s="34"/>
      <c r="F851" s="34"/>
      <c r="G851" s="33"/>
      <c r="H851" s="35"/>
      <c r="I851" s="34"/>
      <c r="J851" s="34"/>
      <c r="K851" s="34"/>
      <c r="L851" s="33"/>
      <c r="M851" s="33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  <c r="AO851" s="34"/>
      <c r="AP851" s="34"/>
      <c r="AQ851" s="34"/>
      <c r="AR851" s="34"/>
      <c r="AS851" s="34"/>
    </row>
    <row r="852" spans="1:45" ht="14.4">
      <c r="A852" s="33"/>
      <c r="B852" s="33"/>
      <c r="C852" s="33"/>
      <c r="D852" s="34"/>
      <c r="E852" s="34"/>
      <c r="F852" s="34"/>
      <c r="G852" s="33"/>
      <c r="H852" s="35"/>
      <c r="I852" s="34"/>
      <c r="J852" s="34"/>
      <c r="K852" s="34"/>
      <c r="L852" s="33"/>
      <c r="M852" s="33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  <c r="AO852" s="34"/>
      <c r="AP852" s="34"/>
      <c r="AQ852" s="34"/>
      <c r="AR852" s="34"/>
      <c r="AS852" s="34"/>
    </row>
    <row r="853" spans="1:45" ht="14.4">
      <c r="A853" s="33"/>
      <c r="B853" s="33"/>
      <c r="C853" s="33"/>
      <c r="D853" s="34"/>
      <c r="E853" s="34"/>
      <c r="F853" s="34"/>
      <c r="G853" s="33"/>
      <c r="H853" s="35"/>
      <c r="I853" s="34"/>
      <c r="J853" s="34"/>
      <c r="K853" s="34"/>
      <c r="L853" s="33"/>
      <c r="M853" s="33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  <c r="AO853" s="34"/>
      <c r="AP853" s="34"/>
      <c r="AQ853" s="34"/>
      <c r="AR853" s="34"/>
      <c r="AS853" s="34"/>
    </row>
    <row r="854" spans="1:45" ht="14.4">
      <c r="A854" s="33"/>
      <c r="B854" s="33"/>
      <c r="C854" s="33"/>
      <c r="D854" s="34"/>
      <c r="E854" s="34"/>
      <c r="F854" s="34"/>
      <c r="G854" s="33"/>
      <c r="H854" s="35"/>
      <c r="I854" s="34"/>
      <c r="J854" s="34"/>
      <c r="K854" s="34"/>
      <c r="L854" s="33"/>
      <c r="M854" s="33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  <c r="AO854" s="34"/>
      <c r="AP854" s="34"/>
      <c r="AQ854" s="34"/>
      <c r="AR854" s="34"/>
      <c r="AS854" s="34"/>
    </row>
    <row r="855" spans="1:45" ht="14.4">
      <c r="A855" s="33"/>
      <c r="B855" s="33"/>
      <c r="C855" s="33"/>
      <c r="D855" s="34"/>
      <c r="E855" s="34"/>
      <c r="F855" s="34"/>
      <c r="G855" s="33"/>
      <c r="H855" s="35"/>
      <c r="I855" s="34"/>
      <c r="J855" s="34"/>
      <c r="K855" s="34"/>
      <c r="L855" s="33"/>
      <c r="M855" s="33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  <c r="AO855" s="34"/>
      <c r="AP855" s="34"/>
      <c r="AQ855" s="34"/>
      <c r="AR855" s="34"/>
      <c r="AS855" s="34"/>
    </row>
    <row r="856" spans="1:45" ht="14.4">
      <c r="A856" s="33"/>
      <c r="B856" s="33"/>
      <c r="C856" s="33"/>
      <c r="D856" s="34"/>
      <c r="E856" s="34"/>
      <c r="F856" s="34"/>
      <c r="G856" s="33"/>
      <c r="H856" s="35"/>
      <c r="I856" s="34"/>
      <c r="J856" s="34"/>
      <c r="K856" s="34"/>
      <c r="L856" s="33"/>
      <c r="M856" s="33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  <c r="AO856" s="34"/>
      <c r="AP856" s="34"/>
      <c r="AQ856" s="34"/>
      <c r="AR856" s="34"/>
      <c r="AS856" s="34"/>
    </row>
    <row r="857" spans="1:45" ht="14.4">
      <c r="A857" s="33"/>
      <c r="B857" s="33"/>
      <c r="C857" s="33"/>
      <c r="D857" s="34"/>
      <c r="E857" s="34"/>
      <c r="F857" s="34"/>
      <c r="G857" s="33"/>
      <c r="H857" s="35"/>
      <c r="I857" s="34"/>
      <c r="J857" s="34"/>
      <c r="K857" s="34"/>
      <c r="L857" s="33"/>
      <c r="M857" s="33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  <c r="AO857" s="34"/>
      <c r="AP857" s="34"/>
      <c r="AQ857" s="34"/>
      <c r="AR857" s="34"/>
      <c r="AS857" s="34"/>
    </row>
    <row r="858" spans="1:45" ht="14.4">
      <c r="A858" s="33"/>
      <c r="B858" s="33"/>
      <c r="C858" s="33"/>
      <c r="D858" s="34"/>
      <c r="E858" s="34"/>
      <c r="F858" s="34"/>
      <c r="G858" s="33"/>
      <c r="H858" s="35"/>
      <c r="I858" s="34"/>
      <c r="J858" s="34"/>
      <c r="K858" s="34"/>
      <c r="L858" s="33"/>
      <c r="M858" s="33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  <c r="AO858" s="34"/>
      <c r="AP858" s="34"/>
      <c r="AQ858" s="34"/>
      <c r="AR858" s="34"/>
      <c r="AS858" s="34"/>
    </row>
    <row r="859" spans="1:45" ht="14.4">
      <c r="A859" s="33"/>
      <c r="B859" s="33"/>
      <c r="C859" s="33"/>
      <c r="D859" s="34"/>
      <c r="E859" s="34"/>
      <c r="F859" s="34"/>
      <c r="G859" s="33"/>
      <c r="H859" s="35"/>
      <c r="I859" s="34"/>
      <c r="J859" s="34"/>
      <c r="K859" s="34"/>
      <c r="L859" s="33"/>
      <c r="M859" s="33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  <c r="AO859" s="34"/>
      <c r="AP859" s="34"/>
      <c r="AQ859" s="34"/>
      <c r="AR859" s="34"/>
      <c r="AS859" s="34"/>
    </row>
    <row r="860" spans="1:45" ht="14.4">
      <c r="A860" s="33"/>
      <c r="B860" s="33"/>
      <c r="C860" s="33"/>
      <c r="D860" s="34"/>
      <c r="E860" s="34"/>
      <c r="F860" s="34"/>
      <c r="G860" s="33"/>
      <c r="H860" s="35"/>
      <c r="I860" s="34"/>
      <c r="J860" s="34"/>
      <c r="K860" s="34"/>
      <c r="L860" s="33"/>
      <c r="M860" s="33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  <c r="AO860" s="34"/>
      <c r="AP860" s="34"/>
      <c r="AQ860" s="34"/>
      <c r="AR860" s="34"/>
      <c r="AS860" s="34"/>
    </row>
    <row r="861" spans="1:45" ht="14.4">
      <c r="A861" s="33"/>
      <c r="B861" s="33"/>
      <c r="C861" s="33"/>
      <c r="D861" s="34"/>
      <c r="E861" s="34"/>
      <c r="F861" s="34"/>
      <c r="G861" s="33"/>
      <c r="H861" s="35"/>
      <c r="I861" s="34"/>
      <c r="J861" s="34"/>
      <c r="K861" s="34"/>
      <c r="L861" s="33"/>
      <c r="M861" s="33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  <c r="AO861" s="34"/>
      <c r="AP861" s="34"/>
      <c r="AQ861" s="34"/>
      <c r="AR861" s="34"/>
      <c r="AS861" s="34"/>
    </row>
    <row r="862" spans="1:45" ht="14.4">
      <c r="A862" s="33"/>
      <c r="B862" s="33"/>
      <c r="C862" s="33"/>
      <c r="D862" s="34"/>
      <c r="E862" s="34"/>
      <c r="F862" s="34"/>
      <c r="G862" s="33"/>
      <c r="H862" s="35"/>
      <c r="I862" s="34"/>
      <c r="J862" s="34"/>
      <c r="K862" s="34"/>
      <c r="L862" s="33"/>
      <c r="M862" s="33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  <c r="AO862" s="34"/>
      <c r="AP862" s="34"/>
      <c r="AQ862" s="34"/>
      <c r="AR862" s="34"/>
      <c r="AS862" s="34"/>
    </row>
    <row r="863" spans="1:45" ht="14.4">
      <c r="A863" s="33"/>
      <c r="B863" s="33"/>
      <c r="C863" s="33"/>
      <c r="D863" s="34"/>
      <c r="E863" s="34"/>
      <c r="F863" s="34"/>
      <c r="G863" s="33"/>
      <c r="H863" s="35"/>
      <c r="I863" s="34"/>
      <c r="J863" s="34"/>
      <c r="K863" s="34"/>
      <c r="L863" s="33"/>
      <c r="M863" s="33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  <c r="AO863" s="34"/>
      <c r="AP863" s="34"/>
      <c r="AQ863" s="34"/>
      <c r="AR863" s="34"/>
      <c r="AS863" s="34"/>
    </row>
    <row r="864" spans="1:45" ht="14.4">
      <c r="A864" s="33"/>
      <c r="B864" s="33"/>
      <c r="C864" s="33"/>
      <c r="D864" s="34"/>
      <c r="E864" s="34"/>
      <c r="F864" s="34"/>
      <c r="G864" s="33"/>
      <c r="H864" s="35"/>
      <c r="I864" s="34"/>
      <c r="J864" s="34"/>
      <c r="K864" s="34"/>
      <c r="L864" s="33"/>
      <c r="M864" s="33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  <c r="AO864" s="34"/>
      <c r="AP864" s="34"/>
      <c r="AQ864" s="34"/>
      <c r="AR864" s="34"/>
      <c r="AS864" s="34"/>
    </row>
    <row r="865" spans="1:45" ht="14.4">
      <c r="A865" s="33"/>
      <c r="B865" s="33"/>
      <c r="C865" s="33"/>
      <c r="D865" s="34"/>
      <c r="E865" s="34"/>
      <c r="F865" s="34"/>
      <c r="G865" s="33"/>
      <c r="H865" s="35"/>
      <c r="I865" s="34"/>
      <c r="J865" s="34"/>
      <c r="K865" s="34"/>
      <c r="L865" s="33"/>
      <c r="M865" s="33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  <c r="AO865" s="34"/>
      <c r="AP865" s="34"/>
      <c r="AQ865" s="34"/>
      <c r="AR865" s="34"/>
      <c r="AS865" s="34"/>
    </row>
    <row r="866" spans="1:45" ht="14.4">
      <c r="A866" s="33"/>
      <c r="B866" s="33"/>
      <c r="C866" s="33"/>
      <c r="D866" s="34"/>
      <c r="E866" s="34"/>
      <c r="F866" s="34"/>
      <c r="G866" s="33"/>
      <c r="H866" s="35"/>
      <c r="I866" s="34"/>
      <c r="J866" s="34"/>
      <c r="K866" s="34"/>
      <c r="L866" s="33"/>
      <c r="M866" s="33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  <c r="AO866" s="34"/>
      <c r="AP866" s="34"/>
      <c r="AQ866" s="34"/>
      <c r="AR866" s="34"/>
      <c r="AS866" s="34"/>
    </row>
    <row r="867" spans="1:45" ht="14.4">
      <c r="A867" s="33"/>
      <c r="B867" s="33"/>
      <c r="C867" s="33"/>
      <c r="D867" s="34"/>
      <c r="E867" s="34"/>
      <c r="F867" s="34"/>
      <c r="G867" s="33"/>
      <c r="H867" s="35"/>
      <c r="I867" s="34"/>
      <c r="J867" s="34"/>
      <c r="K867" s="34"/>
      <c r="L867" s="33"/>
      <c r="M867" s="33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  <c r="AO867" s="34"/>
      <c r="AP867" s="34"/>
      <c r="AQ867" s="34"/>
      <c r="AR867" s="34"/>
      <c r="AS867" s="34"/>
    </row>
    <row r="868" spans="1:45" ht="14.4">
      <c r="A868" s="33"/>
      <c r="B868" s="33"/>
      <c r="C868" s="33"/>
      <c r="D868" s="34"/>
      <c r="E868" s="34"/>
      <c r="F868" s="34"/>
      <c r="G868" s="33"/>
      <c r="H868" s="35"/>
      <c r="I868" s="34"/>
      <c r="J868" s="34"/>
      <c r="K868" s="34"/>
      <c r="L868" s="33"/>
      <c r="M868" s="33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  <c r="AO868" s="34"/>
      <c r="AP868" s="34"/>
      <c r="AQ868" s="34"/>
      <c r="AR868" s="34"/>
      <c r="AS868" s="34"/>
    </row>
    <row r="869" spans="1:45" ht="14.4">
      <c r="A869" s="33"/>
      <c r="B869" s="33"/>
      <c r="C869" s="33"/>
      <c r="D869" s="34"/>
      <c r="E869" s="34"/>
      <c r="F869" s="34"/>
      <c r="G869" s="33"/>
      <c r="H869" s="35"/>
      <c r="I869" s="34"/>
      <c r="J869" s="34"/>
      <c r="K869" s="34"/>
      <c r="L869" s="33"/>
      <c r="M869" s="33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  <c r="AO869" s="34"/>
      <c r="AP869" s="34"/>
      <c r="AQ869" s="34"/>
      <c r="AR869" s="34"/>
      <c r="AS869" s="34"/>
    </row>
    <row r="870" spans="1:45" ht="14.4">
      <c r="A870" s="33"/>
      <c r="B870" s="33"/>
      <c r="C870" s="33"/>
      <c r="D870" s="34"/>
      <c r="E870" s="34"/>
      <c r="F870" s="34"/>
      <c r="G870" s="33"/>
      <c r="H870" s="35"/>
      <c r="I870" s="34"/>
      <c r="J870" s="34"/>
      <c r="K870" s="34"/>
      <c r="L870" s="33"/>
      <c r="M870" s="33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  <c r="AO870" s="34"/>
      <c r="AP870" s="34"/>
      <c r="AQ870" s="34"/>
      <c r="AR870" s="34"/>
      <c r="AS870" s="34"/>
    </row>
    <row r="871" spans="1:45" ht="14.4">
      <c r="A871" s="33"/>
      <c r="B871" s="33"/>
      <c r="C871" s="33"/>
      <c r="D871" s="34"/>
      <c r="E871" s="34"/>
      <c r="F871" s="34"/>
      <c r="G871" s="33"/>
      <c r="H871" s="35"/>
      <c r="I871" s="34"/>
      <c r="J871" s="34"/>
      <c r="K871" s="34"/>
      <c r="L871" s="33"/>
      <c r="M871" s="33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  <c r="AO871" s="34"/>
      <c r="AP871" s="34"/>
      <c r="AQ871" s="34"/>
      <c r="AR871" s="34"/>
      <c r="AS871" s="34"/>
    </row>
    <row r="872" spans="1:45" ht="14.4">
      <c r="A872" s="33"/>
      <c r="B872" s="33"/>
      <c r="C872" s="33"/>
      <c r="D872" s="34"/>
      <c r="E872" s="34"/>
      <c r="F872" s="34"/>
      <c r="G872" s="33"/>
      <c r="H872" s="35"/>
      <c r="I872" s="34"/>
      <c r="J872" s="34"/>
      <c r="K872" s="34"/>
      <c r="L872" s="33"/>
      <c r="M872" s="33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  <c r="AO872" s="34"/>
      <c r="AP872" s="34"/>
      <c r="AQ872" s="34"/>
      <c r="AR872" s="34"/>
      <c r="AS872" s="34"/>
    </row>
    <row r="873" spans="1:45" ht="14.4">
      <c r="A873" s="33"/>
      <c r="B873" s="33"/>
      <c r="C873" s="33"/>
      <c r="D873" s="34"/>
      <c r="E873" s="34"/>
      <c r="F873" s="34"/>
      <c r="G873" s="33"/>
      <c r="H873" s="35"/>
      <c r="I873" s="34"/>
      <c r="J873" s="34"/>
      <c r="K873" s="34"/>
      <c r="L873" s="33"/>
      <c r="M873" s="33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  <c r="AO873" s="34"/>
      <c r="AP873" s="34"/>
      <c r="AQ873" s="34"/>
      <c r="AR873" s="34"/>
      <c r="AS873" s="34"/>
    </row>
    <row r="874" spans="1:45" ht="14.4">
      <c r="A874" s="33"/>
      <c r="B874" s="33"/>
      <c r="C874" s="33"/>
      <c r="D874" s="34"/>
      <c r="E874" s="34"/>
      <c r="F874" s="34"/>
      <c r="G874" s="33"/>
      <c r="H874" s="35"/>
      <c r="I874" s="34"/>
      <c r="J874" s="34"/>
      <c r="K874" s="34"/>
      <c r="L874" s="33"/>
      <c r="M874" s="33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  <c r="AO874" s="34"/>
      <c r="AP874" s="34"/>
      <c r="AQ874" s="34"/>
      <c r="AR874" s="34"/>
      <c r="AS874" s="34"/>
    </row>
    <row r="875" spans="1:45" ht="14.4">
      <c r="A875" s="33"/>
      <c r="B875" s="33"/>
      <c r="C875" s="33"/>
      <c r="D875" s="34"/>
      <c r="E875" s="34"/>
      <c r="F875" s="34"/>
      <c r="G875" s="33"/>
      <c r="H875" s="35"/>
      <c r="I875" s="34"/>
      <c r="J875" s="34"/>
      <c r="K875" s="34"/>
      <c r="L875" s="33"/>
      <c r="M875" s="33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  <c r="AO875" s="34"/>
      <c r="AP875" s="34"/>
      <c r="AQ875" s="34"/>
      <c r="AR875" s="34"/>
      <c r="AS875" s="34"/>
    </row>
    <row r="876" spans="1:45" ht="14.4">
      <c r="A876" s="33"/>
      <c r="B876" s="33"/>
      <c r="C876" s="33"/>
      <c r="D876" s="34"/>
      <c r="E876" s="34"/>
      <c r="F876" s="34"/>
      <c r="G876" s="33"/>
      <c r="H876" s="35"/>
      <c r="I876" s="34"/>
      <c r="J876" s="34"/>
      <c r="K876" s="34"/>
      <c r="L876" s="33"/>
      <c r="M876" s="33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  <c r="AO876" s="34"/>
      <c r="AP876" s="34"/>
      <c r="AQ876" s="34"/>
      <c r="AR876" s="34"/>
      <c r="AS876" s="34"/>
    </row>
    <row r="877" spans="1:45" ht="14.4">
      <c r="A877" s="33"/>
      <c r="B877" s="33"/>
      <c r="C877" s="33"/>
      <c r="D877" s="34"/>
      <c r="E877" s="34"/>
      <c r="F877" s="34"/>
      <c r="G877" s="33"/>
      <c r="H877" s="35"/>
      <c r="I877" s="34"/>
      <c r="J877" s="34"/>
      <c r="K877" s="34"/>
      <c r="L877" s="33"/>
      <c r="M877" s="33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  <c r="AO877" s="34"/>
      <c r="AP877" s="34"/>
      <c r="AQ877" s="34"/>
      <c r="AR877" s="34"/>
      <c r="AS877" s="34"/>
    </row>
    <row r="878" spans="1:45" ht="14.4">
      <c r="A878" s="33"/>
      <c r="B878" s="33"/>
      <c r="C878" s="33"/>
      <c r="D878" s="34"/>
      <c r="E878" s="34"/>
      <c r="F878" s="34"/>
      <c r="G878" s="33"/>
      <c r="H878" s="35"/>
      <c r="I878" s="34"/>
      <c r="J878" s="34"/>
      <c r="K878" s="34"/>
      <c r="L878" s="33"/>
      <c r="M878" s="33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  <c r="AQ878" s="34"/>
      <c r="AR878" s="34"/>
      <c r="AS878" s="34"/>
    </row>
    <row r="879" spans="1:45" ht="14.4">
      <c r="A879" s="33"/>
      <c r="B879" s="33"/>
      <c r="C879" s="33"/>
      <c r="D879" s="34"/>
      <c r="E879" s="34"/>
      <c r="F879" s="34"/>
      <c r="G879" s="33"/>
      <c r="H879" s="35"/>
      <c r="I879" s="34"/>
      <c r="J879" s="34"/>
      <c r="K879" s="34"/>
      <c r="L879" s="33"/>
      <c r="M879" s="33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  <c r="AO879" s="34"/>
      <c r="AP879" s="34"/>
      <c r="AQ879" s="34"/>
      <c r="AR879" s="34"/>
      <c r="AS879" s="34"/>
    </row>
    <row r="880" spans="1:45" ht="14.4">
      <c r="A880" s="33"/>
      <c r="B880" s="33"/>
      <c r="C880" s="33"/>
      <c r="D880" s="34"/>
      <c r="E880" s="34"/>
      <c r="F880" s="34"/>
      <c r="G880" s="33"/>
      <c r="H880" s="35"/>
      <c r="I880" s="34"/>
      <c r="J880" s="34"/>
      <c r="K880" s="34"/>
      <c r="L880" s="33"/>
      <c r="M880" s="33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  <c r="AO880" s="34"/>
      <c r="AP880" s="34"/>
      <c r="AQ880" s="34"/>
      <c r="AR880" s="34"/>
      <c r="AS880" s="34"/>
    </row>
    <row r="881" spans="1:45" ht="14.4">
      <c r="A881" s="33"/>
      <c r="B881" s="33"/>
      <c r="C881" s="33"/>
      <c r="D881" s="34"/>
      <c r="E881" s="34"/>
      <c r="F881" s="34"/>
      <c r="G881" s="33"/>
      <c r="H881" s="35"/>
      <c r="I881" s="34"/>
      <c r="J881" s="34"/>
      <c r="K881" s="34"/>
      <c r="L881" s="33"/>
      <c r="M881" s="33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  <c r="AO881" s="34"/>
      <c r="AP881" s="34"/>
      <c r="AQ881" s="34"/>
      <c r="AR881" s="34"/>
      <c r="AS881" s="34"/>
    </row>
    <row r="882" spans="1:45" ht="14.4">
      <c r="A882" s="33"/>
      <c r="B882" s="33"/>
      <c r="C882" s="33"/>
      <c r="D882" s="34"/>
      <c r="E882" s="34"/>
      <c r="F882" s="34"/>
      <c r="G882" s="33"/>
      <c r="H882" s="35"/>
      <c r="I882" s="34"/>
      <c r="J882" s="34"/>
      <c r="K882" s="34"/>
      <c r="L882" s="33"/>
      <c r="M882" s="33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  <c r="AO882" s="34"/>
      <c r="AP882" s="34"/>
      <c r="AQ882" s="34"/>
      <c r="AR882" s="34"/>
      <c r="AS882" s="34"/>
    </row>
    <row r="883" spans="1:45" ht="14.4">
      <c r="A883" s="33"/>
      <c r="B883" s="33"/>
      <c r="C883" s="33"/>
      <c r="D883" s="34"/>
      <c r="E883" s="34"/>
      <c r="F883" s="34"/>
      <c r="G883" s="33"/>
      <c r="H883" s="35"/>
      <c r="I883" s="34"/>
      <c r="J883" s="34"/>
      <c r="K883" s="34"/>
      <c r="L883" s="33"/>
      <c r="M883" s="33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  <c r="AQ883" s="34"/>
      <c r="AR883" s="34"/>
      <c r="AS883" s="34"/>
    </row>
    <row r="884" spans="1:45" ht="14.4">
      <c r="A884" s="33"/>
      <c r="B884" s="33"/>
      <c r="C884" s="33"/>
      <c r="D884" s="34"/>
      <c r="E884" s="34"/>
      <c r="F884" s="34"/>
      <c r="G884" s="33"/>
      <c r="H884" s="35"/>
      <c r="I884" s="34"/>
      <c r="J884" s="34"/>
      <c r="K884" s="34"/>
      <c r="L884" s="33"/>
      <c r="M884" s="33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  <c r="AO884" s="34"/>
      <c r="AP884" s="34"/>
      <c r="AQ884" s="34"/>
      <c r="AR884" s="34"/>
      <c r="AS884" s="34"/>
    </row>
    <row r="885" spans="1:45" ht="14.4">
      <c r="A885" s="33"/>
      <c r="B885" s="33"/>
      <c r="C885" s="33"/>
      <c r="D885" s="34"/>
      <c r="E885" s="34"/>
      <c r="F885" s="34"/>
      <c r="G885" s="33"/>
      <c r="H885" s="35"/>
      <c r="I885" s="34"/>
      <c r="J885" s="34"/>
      <c r="K885" s="34"/>
      <c r="L885" s="33"/>
      <c r="M885" s="33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  <c r="AO885" s="34"/>
      <c r="AP885" s="34"/>
      <c r="AQ885" s="34"/>
      <c r="AR885" s="34"/>
      <c r="AS885" s="34"/>
    </row>
    <row r="886" spans="1:45" ht="14.4">
      <c r="A886" s="33"/>
      <c r="B886" s="33"/>
      <c r="C886" s="33"/>
      <c r="D886" s="34"/>
      <c r="E886" s="34"/>
      <c r="F886" s="34"/>
      <c r="G886" s="33"/>
      <c r="H886" s="35"/>
      <c r="I886" s="34"/>
      <c r="J886" s="34"/>
      <c r="K886" s="34"/>
      <c r="L886" s="33"/>
      <c r="M886" s="33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  <c r="AO886" s="34"/>
      <c r="AP886" s="34"/>
      <c r="AQ886" s="34"/>
      <c r="AR886" s="34"/>
      <c r="AS886" s="34"/>
    </row>
    <row r="887" spans="1:45" ht="14.4">
      <c r="A887" s="33"/>
      <c r="B887" s="33"/>
      <c r="C887" s="33"/>
      <c r="D887" s="34"/>
      <c r="E887" s="34"/>
      <c r="F887" s="34"/>
      <c r="G887" s="33"/>
      <c r="H887" s="35"/>
      <c r="I887" s="34"/>
      <c r="J887" s="34"/>
      <c r="K887" s="34"/>
      <c r="L887" s="33"/>
      <c r="M887" s="33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  <c r="AO887" s="34"/>
      <c r="AP887" s="34"/>
      <c r="AQ887" s="34"/>
      <c r="AR887" s="34"/>
      <c r="AS887" s="34"/>
    </row>
    <row r="888" spans="1:45" ht="14.4">
      <c r="A888" s="33"/>
      <c r="B888" s="33"/>
      <c r="C888" s="33"/>
      <c r="D888" s="34"/>
      <c r="E888" s="34"/>
      <c r="F888" s="34"/>
      <c r="G888" s="33"/>
      <c r="H888" s="35"/>
      <c r="I888" s="34"/>
      <c r="J888" s="34"/>
      <c r="K888" s="34"/>
      <c r="L888" s="33"/>
      <c r="M888" s="33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  <c r="AO888" s="34"/>
      <c r="AP888" s="34"/>
      <c r="AQ888" s="34"/>
      <c r="AR888" s="34"/>
      <c r="AS888" s="34"/>
    </row>
    <row r="889" spans="1:45" ht="14.4">
      <c r="A889" s="33"/>
      <c r="B889" s="33"/>
      <c r="C889" s="33"/>
      <c r="D889" s="34"/>
      <c r="E889" s="34"/>
      <c r="F889" s="34"/>
      <c r="G889" s="33"/>
      <c r="H889" s="35"/>
      <c r="I889" s="34"/>
      <c r="J889" s="34"/>
      <c r="K889" s="34"/>
      <c r="L889" s="33"/>
      <c r="M889" s="33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  <c r="AO889" s="34"/>
      <c r="AP889" s="34"/>
      <c r="AQ889" s="34"/>
      <c r="AR889" s="34"/>
      <c r="AS889" s="34"/>
    </row>
    <row r="890" spans="1:45" ht="14.4">
      <c r="A890" s="33"/>
      <c r="B890" s="33"/>
      <c r="C890" s="33"/>
      <c r="D890" s="34"/>
      <c r="E890" s="34"/>
      <c r="F890" s="34"/>
      <c r="G890" s="33"/>
      <c r="H890" s="35"/>
      <c r="I890" s="34"/>
      <c r="J890" s="34"/>
      <c r="K890" s="34"/>
      <c r="L890" s="33"/>
      <c r="M890" s="33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  <c r="AO890" s="34"/>
      <c r="AP890" s="34"/>
      <c r="AQ890" s="34"/>
      <c r="AR890" s="34"/>
      <c r="AS890" s="34"/>
    </row>
    <row r="891" spans="1:45" ht="14.4">
      <c r="A891" s="33"/>
      <c r="B891" s="33"/>
      <c r="C891" s="33"/>
      <c r="D891" s="34"/>
      <c r="E891" s="34"/>
      <c r="F891" s="34"/>
      <c r="G891" s="33"/>
      <c r="H891" s="35"/>
      <c r="I891" s="34"/>
      <c r="J891" s="34"/>
      <c r="K891" s="34"/>
      <c r="L891" s="33"/>
      <c r="M891" s="33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  <c r="AO891" s="34"/>
      <c r="AP891" s="34"/>
      <c r="AQ891" s="34"/>
      <c r="AR891" s="34"/>
      <c r="AS891" s="34"/>
    </row>
    <row r="892" spans="1:45" ht="14.4">
      <c r="A892" s="33"/>
      <c r="B892" s="33"/>
      <c r="C892" s="33"/>
      <c r="D892" s="34"/>
      <c r="E892" s="34"/>
      <c r="F892" s="34"/>
      <c r="G892" s="33"/>
      <c r="H892" s="35"/>
      <c r="I892" s="34"/>
      <c r="J892" s="34"/>
      <c r="K892" s="34"/>
      <c r="L892" s="33"/>
      <c r="M892" s="33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  <c r="AO892" s="34"/>
      <c r="AP892" s="34"/>
      <c r="AQ892" s="34"/>
      <c r="AR892" s="34"/>
      <c r="AS892" s="34"/>
    </row>
    <row r="893" spans="1:45" ht="14.4">
      <c r="A893" s="33"/>
      <c r="B893" s="33"/>
      <c r="C893" s="33"/>
      <c r="D893" s="34"/>
      <c r="E893" s="34"/>
      <c r="F893" s="34"/>
      <c r="G893" s="33"/>
      <c r="H893" s="35"/>
      <c r="I893" s="34"/>
      <c r="J893" s="34"/>
      <c r="K893" s="34"/>
      <c r="L893" s="33"/>
      <c r="M893" s="33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  <c r="AO893" s="34"/>
      <c r="AP893" s="34"/>
      <c r="AQ893" s="34"/>
      <c r="AR893" s="34"/>
      <c r="AS893" s="34"/>
    </row>
    <row r="894" spans="1:45" ht="14.4">
      <c r="A894" s="33"/>
      <c r="B894" s="33"/>
      <c r="C894" s="33"/>
      <c r="D894" s="34"/>
      <c r="E894" s="34"/>
      <c r="F894" s="34"/>
      <c r="G894" s="33"/>
      <c r="H894" s="35"/>
      <c r="I894" s="34"/>
      <c r="J894" s="34"/>
      <c r="K894" s="34"/>
      <c r="L894" s="33"/>
      <c r="M894" s="33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  <c r="AO894" s="34"/>
      <c r="AP894" s="34"/>
      <c r="AQ894" s="34"/>
      <c r="AR894" s="34"/>
      <c r="AS894" s="34"/>
    </row>
    <row r="895" spans="1:45" ht="14.4">
      <c r="A895" s="33"/>
      <c r="B895" s="33"/>
      <c r="C895" s="33"/>
      <c r="D895" s="34"/>
      <c r="E895" s="34"/>
      <c r="F895" s="34"/>
      <c r="G895" s="33"/>
      <c r="H895" s="35"/>
      <c r="I895" s="34"/>
      <c r="J895" s="34"/>
      <c r="K895" s="34"/>
      <c r="L895" s="33"/>
      <c r="M895" s="33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  <c r="AO895" s="34"/>
      <c r="AP895" s="34"/>
      <c r="AQ895" s="34"/>
      <c r="AR895" s="34"/>
      <c r="AS895" s="34"/>
    </row>
    <row r="896" spans="1:45" ht="14.4">
      <c r="A896" s="33"/>
      <c r="B896" s="33"/>
      <c r="C896" s="33"/>
      <c r="D896" s="34"/>
      <c r="E896" s="34"/>
      <c r="F896" s="34"/>
      <c r="G896" s="33"/>
      <c r="H896" s="35"/>
      <c r="I896" s="34"/>
      <c r="J896" s="34"/>
      <c r="K896" s="34"/>
      <c r="L896" s="33"/>
      <c r="M896" s="33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  <c r="AO896" s="34"/>
      <c r="AP896" s="34"/>
      <c r="AQ896" s="34"/>
      <c r="AR896" s="34"/>
      <c r="AS896" s="34"/>
    </row>
    <row r="897" spans="1:45" ht="14.4">
      <c r="A897" s="33"/>
      <c r="B897" s="33"/>
      <c r="C897" s="33"/>
      <c r="D897" s="34"/>
      <c r="E897" s="34"/>
      <c r="F897" s="34"/>
      <c r="G897" s="33"/>
      <c r="H897" s="35"/>
      <c r="I897" s="34"/>
      <c r="J897" s="34"/>
      <c r="K897" s="34"/>
      <c r="L897" s="33"/>
      <c r="M897" s="33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  <c r="AO897" s="34"/>
      <c r="AP897" s="34"/>
      <c r="AQ897" s="34"/>
      <c r="AR897" s="34"/>
      <c r="AS897" s="34"/>
    </row>
    <row r="898" spans="1:45" ht="14.4">
      <c r="A898" s="33"/>
      <c r="B898" s="33"/>
      <c r="C898" s="33"/>
      <c r="D898" s="34"/>
      <c r="E898" s="34"/>
      <c r="F898" s="34"/>
      <c r="G898" s="33"/>
      <c r="H898" s="35"/>
      <c r="I898" s="34"/>
      <c r="J898" s="34"/>
      <c r="K898" s="34"/>
      <c r="L898" s="33"/>
      <c r="M898" s="33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  <c r="AO898" s="34"/>
      <c r="AP898" s="34"/>
      <c r="AQ898" s="34"/>
      <c r="AR898" s="34"/>
      <c r="AS898" s="34"/>
    </row>
    <row r="899" spans="1:45" ht="14.4">
      <c r="A899" s="33"/>
      <c r="B899" s="33"/>
      <c r="C899" s="33"/>
      <c r="D899" s="34"/>
      <c r="E899" s="34"/>
      <c r="F899" s="34"/>
      <c r="G899" s="33"/>
      <c r="H899" s="35"/>
      <c r="I899" s="34"/>
      <c r="J899" s="34"/>
      <c r="K899" s="34"/>
      <c r="L899" s="33"/>
      <c r="M899" s="33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  <c r="AO899" s="34"/>
      <c r="AP899" s="34"/>
      <c r="AQ899" s="34"/>
      <c r="AR899" s="34"/>
      <c r="AS899" s="34"/>
    </row>
    <row r="900" spans="1:45" ht="14.4">
      <c r="A900" s="33"/>
      <c r="B900" s="33"/>
      <c r="C900" s="33"/>
      <c r="D900" s="34"/>
      <c r="E900" s="34"/>
      <c r="F900" s="34"/>
      <c r="G900" s="33"/>
      <c r="H900" s="35"/>
      <c r="I900" s="34"/>
      <c r="J900" s="34"/>
      <c r="K900" s="34"/>
      <c r="L900" s="33"/>
      <c r="M900" s="33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  <c r="AO900" s="34"/>
      <c r="AP900" s="34"/>
      <c r="AQ900" s="34"/>
      <c r="AR900" s="34"/>
      <c r="AS900" s="34"/>
    </row>
    <row r="901" spans="1:45" ht="14.4">
      <c r="A901" s="33"/>
      <c r="B901" s="33"/>
      <c r="C901" s="33"/>
      <c r="D901" s="34"/>
      <c r="E901" s="34"/>
      <c r="F901" s="34"/>
      <c r="G901" s="33"/>
      <c r="H901" s="35"/>
      <c r="I901" s="34"/>
      <c r="J901" s="34"/>
      <c r="K901" s="34"/>
      <c r="L901" s="33"/>
      <c r="M901" s="33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  <c r="AO901" s="34"/>
      <c r="AP901" s="34"/>
      <c r="AQ901" s="34"/>
      <c r="AR901" s="34"/>
      <c r="AS901" s="34"/>
    </row>
    <row r="902" spans="1:45" ht="14.4">
      <c r="A902" s="33"/>
      <c r="B902" s="33"/>
      <c r="C902" s="33"/>
      <c r="D902" s="34"/>
      <c r="E902" s="34"/>
      <c r="F902" s="34"/>
      <c r="G902" s="33"/>
      <c r="H902" s="35"/>
      <c r="I902" s="34"/>
      <c r="J902" s="34"/>
      <c r="K902" s="34"/>
      <c r="L902" s="33"/>
      <c r="M902" s="33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  <c r="AO902" s="34"/>
      <c r="AP902" s="34"/>
      <c r="AQ902" s="34"/>
      <c r="AR902" s="34"/>
      <c r="AS902" s="34"/>
    </row>
    <row r="903" spans="1:45" ht="14.4">
      <c r="A903" s="33"/>
      <c r="B903" s="33"/>
      <c r="C903" s="33"/>
      <c r="D903" s="34"/>
      <c r="E903" s="34"/>
      <c r="F903" s="34"/>
      <c r="G903" s="33"/>
      <c r="H903" s="35"/>
      <c r="I903" s="34"/>
      <c r="J903" s="34"/>
      <c r="K903" s="34"/>
      <c r="L903" s="33"/>
      <c r="M903" s="33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  <c r="AO903" s="34"/>
      <c r="AP903" s="34"/>
      <c r="AQ903" s="34"/>
      <c r="AR903" s="34"/>
      <c r="AS903" s="34"/>
    </row>
    <row r="904" spans="1:45" ht="14.4">
      <c r="A904" s="33"/>
      <c r="B904" s="33"/>
      <c r="C904" s="33"/>
      <c r="D904" s="34"/>
      <c r="E904" s="34"/>
      <c r="F904" s="34"/>
      <c r="G904" s="33"/>
      <c r="H904" s="35"/>
      <c r="I904" s="34"/>
      <c r="J904" s="34"/>
      <c r="K904" s="34"/>
      <c r="L904" s="33"/>
      <c r="M904" s="33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  <c r="AO904" s="34"/>
      <c r="AP904" s="34"/>
      <c r="AQ904" s="34"/>
      <c r="AR904" s="34"/>
      <c r="AS904" s="34"/>
    </row>
    <row r="905" spans="1:45" ht="14.4">
      <c r="A905" s="33"/>
      <c r="B905" s="33"/>
      <c r="C905" s="33"/>
      <c r="D905" s="34"/>
      <c r="E905" s="34"/>
      <c r="F905" s="34"/>
      <c r="G905" s="33"/>
      <c r="H905" s="35"/>
      <c r="I905" s="34"/>
      <c r="J905" s="34"/>
      <c r="K905" s="34"/>
      <c r="L905" s="33"/>
      <c r="M905" s="33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  <c r="AO905" s="34"/>
      <c r="AP905" s="34"/>
      <c r="AQ905" s="34"/>
      <c r="AR905" s="34"/>
      <c r="AS905" s="34"/>
    </row>
    <row r="906" spans="1:45" ht="14.4">
      <c r="A906" s="33"/>
      <c r="B906" s="33"/>
      <c r="C906" s="33"/>
      <c r="D906" s="34"/>
      <c r="E906" s="34"/>
      <c r="F906" s="34"/>
      <c r="G906" s="33"/>
      <c r="H906" s="35"/>
      <c r="I906" s="34"/>
      <c r="J906" s="34"/>
      <c r="K906" s="34"/>
      <c r="L906" s="33"/>
      <c r="M906" s="33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  <c r="AO906" s="34"/>
      <c r="AP906" s="34"/>
      <c r="AQ906" s="34"/>
      <c r="AR906" s="34"/>
      <c r="AS906" s="34"/>
    </row>
    <row r="907" spans="1:45" ht="14.4">
      <c r="A907" s="33"/>
      <c r="B907" s="33"/>
      <c r="C907" s="33"/>
      <c r="D907" s="34"/>
      <c r="E907" s="34"/>
      <c r="F907" s="34"/>
      <c r="G907" s="33"/>
      <c r="H907" s="35"/>
      <c r="I907" s="34"/>
      <c r="J907" s="34"/>
      <c r="K907" s="34"/>
      <c r="L907" s="33"/>
      <c r="M907" s="33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  <c r="AQ907" s="34"/>
      <c r="AR907" s="34"/>
      <c r="AS907" s="34"/>
    </row>
    <row r="908" spans="1:45" ht="14.4">
      <c r="A908" s="33"/>
      <c r="B908" s="33"/>
      <c r="C908" s="33"/>
      <c r="D908" s="34"/>
      <c r="E908" s="34"/>
      <c r="F908" s="34"/>
      <c r="G908" s="33"/>
      <c r="H908" s="35"/>
      <c r="I908" s="34"/>
      <c r="J908" s="34"/>
      <c r="K908" s="34"/>
      <c r="L908" s="33"/>
      <c r="M908" s="33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  <c r="AO908" s="34"/>
      <c r="AP908" s="34"/>
      <c r="AQ908" s="34"/>
      <c r="AR908" s="34"/>
      <c r="AS908" s="34"/>
    </row>
    <row r="909" spans="1:45" ht="14.4">
      <c r="A909" s="33"/>
      <c r="B909" s="33"/>
      <c r="C909" s="33"/>
      <c r="D909" s="34"/>
      <c r="E909" s="34"/>
      <c r="F909" s="34"/>
      <c r="G909" s="33"/>
      <c r="H909" s="35"/>
      <c r="I909" s="34"/>
      <c r="J909" s="34"/>
      <c r="K909" s="34"/>
      <c r="L909" s="33"/>
      <c r="M909" s="33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  <c r="AO909" s="34"/>
      <c r="AP909" s="34"/>
      <c r="AQ909" s="34"/>
      <c r="AR909" s="34"/>
      <c r="AS909" s="34"/>
    </row>
    <row r="910" spans="1:45" ht="14.4">
      <c r="A910" s="33"/>
      <c r="B910" s="33"/>
      <c r="C910" s="33"/>
      <c r="D910" s="34"/>
      <c r="E910" s="34"/>
      <c r="F910" s="34"/>
      <c r="G910" s="33"/>
      <c r="H910" s="35"/>
      <c r="I910" s="34"/>
      <c r="J910" s="34"/>
      <c r="K910" s="34"/>
      <c r="L910" s="33"/>
      <c r="M910" s="33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  <c r="AO910" s="34"/>
      <c r="AP910" s="34"/>
      <c r="AQ910" s="34"/>
      <c r="AR910" s="34"/>
      <c r="AS910" s="34"/>
    </row>
    <row r="911" spans="1:45" ht="14.4">
      <c r="A911" s="33"/>
      <c r="B911" s="33"/>
      <c r="C911" s="33"/>
      <c r="D911" s="34"/>
      <c r="E911" s="34"/>
      <c r="F911" s="34"/>
      <c r="G911" s="33"/>
      <c r="H911" s="35"/>
      <c r="I911" s="34"/>
      <c r="J911" s="34"/>
      <c r="K911" s="34"/>
      <c r="L911" s="33"/>
      <c r="M911" s="33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  <c r="AO911" s="34"/>
      <c r="AP911" s="34"/>
      <c r="AQ911" s="34"/>
      <c r="AR911" s="34"/>
      <c r="AS911" s="34"/>
    </row>
    <row r="912" spans="1:45" ht="14.4">
      <c r="A912" s="33"/>
      <c r="B912" s="33"/>
      <c r="C912" s="33"/>
      <c r="D912" s="34"/>
      <c r="E912" s="34"/>
      <c r="F912" s="34"/>
      <c r="G912" s="33"/>
      <c r="H912" s="35"/>
      <c r="I912" s="34"/>
      <c r="J912" s="34"/>
      <c r="K912" s="34"/>
      <c r="L912" s="33"/>
      <c r="M912" s="33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  <c r="AO912" s="34"/>
      <c r="AP912" s="34"/>
      <c r="AQ912" s="34"/>
      <c r="AR912" s="34"/>
      <c r="AS912" s="34"/>
    </row>
    <row r="913" spans="1:45" ht="14.4">
      <c r="A913" s="33"/>
      <c r="B913" s="33"/>
      <c r="C913" s="33"/>
      <c r="D913" s="34"/>
      <c r="E913" s="34"/>
      <c r="F913" s="34"/>
      <c r="G913" s="33"/>
      <c r="H913" s="35"/>
      <c r="I913" s="34"/>
      <c r="J913" s="34"/>
      <c r="K913" s="34"/>
      <c r="L913" s="33"/>
      <c r="M913" s="33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  <c r="AO913" s="34"/>
      <c r="AP913" s="34"/>
      <c r="AQ913" s="34"/>
      <c r="AR913" s="34"/>
      <c r="AS913" s="34"/>
    </row>
    <row r="914" spans="1:45" ht="14.4">
      <c r="A914" s="33"/>
      <c r="B914" s="33"/>
      <c r="C914" s="33"/>
      <c r="D914" s="34"/>
      <c r="E914" s="34"/>
      <c r="F914" s="34"/>
      <c r="G914" s="33"/>
      <c r="H914" s="35"/>
      <c r="I914" s="34"/>
      <c r="J914" s="34"/>
      <c r="K914" s="34"/>
      <c r="L914" s="33"/>
      <c r="M914" s="33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  <c r="AO914" s="34"/>
      <c r="AP914" s="34"/>
      <c r="AQ914" s="34"/>
      <c r="AR914" s="34"/>
      <c r="AS914" s="34"/>
    </row>
    <row r="915" spans="1:45" ht="14.4">
      <c r="A915" s="33"/>
      <c r="B915" s="33"/>
      <c r="C915" s="33"/>
      <c r="D915" s="34"/>
      <c r="E915" s="34"/>
      <c r="F915" s="34"/>
      <c r="G915" s="33"/>
      <c r="H915" s="35"/>
      <c r="I915" s="34"/>
      <c r="J915" s="34"/>
      <c r="K915" s="34"/>
      <c r="L915" s="33"/>
      <c r="M915" s="33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  <c r="AO915" s="34"/>
      <c r="AP915" s="34"/>
      <c r="AQ915" s="34"/>
      <c r="AR915" s="34"/>
      <c r="AS915" s="34"/>
    </row>
    <row r="916" spans="1:45" ht="14.4">
      <c r="A916" s="33"/>
      <c r="B916" s="33"/>
      <c r="C916" s="33"/>
      <c r="D916" s="34"/>
      <c r="E916" s="34"/>
      <c r="F916" s="34"/>
      <c r="G916" s="33"/>
      <c r="H916" s="35"/>
      <c r="I916" s="34"/>
      <c r="J916" s="34"/>
      <c r="K916" s="34"/>
      <c r="L916" s="33"/>
      <c r="M916" s="33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  <c r="AO916" s="34"/>
      <c r="AP916" s="34"/>
      <c r="AQ916" s="34"/>
      <c r="AR916" s="34"/>
      <c r="AS916" s="34"/>
    </row>
    <row r="917" spans="1:45" ht="14.4">
      <c r="A917" s="33"/>
      <c r="B917" s="33"/>
      <c r="C917" s="33"/>
      <c r="D917" s="34"/>
      <c r="E917" s="34"/>
      <c r="F917" s="34"/>
      <c r="G917" s="33"/>
      <c r="H917" s="35"/>
      <c r="I917" s="34"/>
      <c r="J917" s="34"/>
      <c r="K917" s="34"/>
      <c r="L917" s="33"/>
      <c r="M917" s="33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  <c r="AO917" s="34"/>
      <c r="AP917" s="34"/>
      <c r="AQ917" s="34"/>
      <c r="AR917" s="34"/>
      <c r="AS917" s="34"/>
    </row>
    <row r="918" spans="1:45" ht="14.4">
      <c r="A918" s="33"/>
      <c r="B918" s="33"/>
      <c r="C918" s="33"/>
      <c r="D918" s="34"/>
      <c r="E918" s="34"/>
      <c r="F918" s="34"/>
      <c r="G918" s="33"/>
      <c r="H918" s="35"/>
      <c r="I918" s="34"/>
      <c r="J918" s="34"/>
      <c r="K918" s="34"/>
      <c r="L918" s="33"/>
      <c r="M918" s="33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  <c r="AO918" s="34"/>
      <c r="AP918" s="34"/>
      <c r="AQ918" s="34"/>
      <c r="AR918" s="34"/>
      <c r="AS918" s="34"/>
    </row>
    <row r="919" spans="1:45" ht="14.4">
      <c r="A919" s="33"/>
      <c r="B919" s="33"/>
      <c r="C919" s="33"/>
      <c r="D919" s="34"/>
      <c r="E919" s="34"/>
      <c r="F919" s="34"/>
      <c r="G919" s="33"/>
      <c r="H919" s="35"/>
      <c r="I919" s="34"/>
      <c r="J919" s="34"/>
      <c r="K919" s="34"/>
      <c r="L919" s="33"/>
      <c r="M919" s="33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  <c r="AO919" s="34"/>
      <c r="AP919" s="34"/>
      <c r="AQ919" s="34"/>
      <c r="AR919" s="34"/>
      <c r="AS919" s="34"/>
    </row>
    <row r="920" spans="1:45" ht="14.4">
      <c r="A920" s="33"/>
      <c r="B920" s="33"/>
      <c r="C920" s="33"/>
      <c r="D920" s="34"/>
      <c r="E920" s="34"/>
      <c r="F920" s="34"/>
      <c r="G920" s="33"/>
      <c r="H920" s="35"/>
      <c r="I920" s="34"/>
      <c r="J920" s="34"/>
      <c r="K920" s="34"/>
      <c r="L920" s="33"/>
      <c r="M920" s="33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  <c r="AO920" s="34"/>
      <c r="AP920" s="34"/>
      <c r="AQ920" s="34"/>
      <c r="AR920" s="34"/>
      <c r="AS920" s="34"/>
    </row>
    <row r="921" spans="1:45" ht="14.4">
      <c r="A921" s="33"/>
      <c r="B921" s="33"/>
      <c r="C921" s="33"/>
      <c r="D921" s="34"/>
      <c r="E921" s="34"/>
      <c r="F921" s="34"/>
      <c r="G921" s="33"/>
      <c r="H921" s="35"/>
      <c r="I921" s="34"/>
      <c r="J921" s="34"/>
      <c r="K921" s="34"/>
      <c r="L921" s="33"/>
      <c r="M921" s="33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  <c r="AO921" s="34"/>
      <c r="AP921" s="34"/>
      <c r="AQ921" s="34"/>
      <c r="AR921" s="34"/>
      <c r="AS921" s="34"/>
    </row>
    <row r="922" spans="1:45" ht="14.4">
      <c r="A922" s="33"/>
      <c r="B922" s="33"/>
      <c r="C922" s="33"/>
      <c r="D922" s="34"/>
      <c r="E922" s="34"/>
      <c r="F922" s="34"/>
      <c r="G922" s="33"/>
      <c r="H922" s="35"/>
      <c r="I922" s="34"/>
      <c r="J922" s="34"/>
      <c r="K922" s="34"/>
      <c r="L922" s="33"/>
      <c r="M922" s="33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  <c r="AO922" s="34"/>
      <c r="AP922" s="34"/>
      <c r="AQ922" s="34"/>
      <c r="AR922" s="34"/>
      <c r="AS922" s="34"/>
    </row>
    <row r="923" spans="1:45" ht="14.4">
      <c r="A923" s="33"/>
      <c r="B923" s="33"/>
      <c r="C923" s="33"/>
      <c r="D923" s="34"/>
      <c r="E923" s="34"/>
      <c r="F923" s="34"/>
      <c r="G923" s="33"/>
      <c r="H923" s="35"/>
      <c r="I923" s="34"/>
      <c r="J923" s="34"/>
      <c r="K923" s="34"/>
      <c r="L923" s="33"/>
      <c r="M923" s="33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  <c r="AO923" s="34"/>
      <c r="AP923" s="34"/>
      <c r="AQ923" s="34"/>
      <c r="AR923" s="34"/>
      <c r="AS923" s="34"/>
    </row>
    <row r="924" spans="1:45" ht="14.4">
      <c r="A924" s="33"/>
      <c r="B924" s="33"/>
      <c r="C924" s="33"/>
      <c r="D924" s="34"/>
      <c r="E924" s="34"/>
      <c r="F924" s="34"/>
      <c r="G924" s="33"/>
      <c r="H924" s="35"/>
      <c r="I924" s="34"/>
      <c r="J924" s="34"/>
      <c r="K924" s="34"/>
      <c r="L924" s="33"/>
      <c r="M924" s="33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  <c r="AO924" s="34"/>
      <c r="AP924" s="34"/>
      <c r="AQ924" s="34"/>
      <c r="AR924" s="34"/>
      <c r="AS924" s="34"/>
    </row>
    <row r="925" spans="1:45" ht="14.4">
      <c r="A925" s="33"/>
      <c r="B925" s="33"/>
      <c r="C925" s="33"/>
      <c r="D925" s="34"/>
      <c r="E925" s="34"/>
      <c r="F925" s="34"/>
      <c r="G925" s="33"/>
      <c r="H925" s="35"/>
      <c r="I925" s="34"/>
      <c r="J925" s="34"/>
      <c r="K925" s="34"/>
      <c r="L925" s="33"/>
      <c r="M925" s="33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  <c r="AO925" s="34"/>
      <c r="AP925" s="34"/>
      <c r="AQ925" s="34"/>
      <c r="AR925" s="34"/>
      <c r="AS925" s="34"/>
    </row>
    <row r="926" spans="1:45" ht="14.4">
      <c r="A926" s="33"/>
      <c r="B926" s="33"/>
      <c r="C926" s="33"/>
      <c r="D926" s="34"/>
      <c r="E926" s="34"/>
      <c r="F926" s="34"/>
      <c r="G926" s="33"/>
      <c r="H926" s="35"/>
      <c r="I926" s="34"/>
      <c r="J926" s="34"/>
      <c r="K926" s="34"/>
      <c r="L926" s="33"/>
      <c r="M926" s="33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  <c r="AO926" s="34"/>
      <c r="AP926" s="34"/>
      <c r="AQ926" s="34"/>
      <c r="AR926" s="34"/>
      <c r="AS926" s="34"/>
    </row>
    <row r="927" spans="1:45" ht="14.4">
      <c r="A927" s="33"/>
      <c r="B927" s="33"/>
      <c r="C927" s="33"/>
      <c r="D927" s="34"/>
      <c r="E927" s="34"/>
      <c r="F927" s="34"/>
      <c r="G927" s="33"/>
      <c r="H927" s="35"/>
      <c r="I927" s="34"/>
      <c r="J927" s="34"/>
      <c r="K927" s="34"/>
      <c r="L927" s="33"/>
      <c r="M927" s="33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  <c r="AO927" s="34"/>
      <c r="AP927" s="34"/>
      <c r="AQ927" s="34"/>
      <c r="AR927" s="34"/>
      <c r="AS927" s="34"/>
    </row>
    <row r="928" spans="1:45" ht="14.4">
      <c r="A928" s="33"/>
      <c r="B928" s="33"/>
      <c r="C928" s="33"/>
      <c r="D928" s="34"/>
      <c r="E928" s="34"/>
      <c r="F928" s="34"/>
      <c r="G928" s="33"/>
      <c r="H928" s="35"/>
      <c r="I928" s="34"/>
      <c r="J928" s="34"/>
      <c r="K928" s="34"/>
      <c r="L928" s="33"/>
      <c r="M928" s="33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  <c r="AO928" s="34"/>
      <c r="AP928" s="34"/>
      <c r="AQ928" s="34"/>
      <c r="AR928" s="34"/>
      <c r="AS928" s="34"/>
    </row>
    <row r="929" spans="1:45" ht="14.4">
      <c r="A929" s="33"/>
      <c r="B929" s="33"/>
      <c r="C929" s="33"/>
      <c r="D929" s="34"/>
      <c r="E929" s="34"/>
      <c r="F929" s="34"/>
      <c r="G929" s="33"/>
      <c r="H929" s="35"/>
      <c r="I929" s="34"/>
      <c r="J929" s="34"/>
      <c r="K929" s="34"/>
      <c r="L929" s="33"/>
      <c r="M929" s="33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  <c r="AO929" s="34"/>
      <c r="AP929" s="34"/>
      <c r="AQ929" s="34"/>
      <c r="AR929" s="34"/>
      <c r="AS929" s="34"/>
    </row>
    <row r="930" spans="1:45" ht="14.4">
      <c r="A930" s="33"/>
      <c r="B930" s="33"/>
      <c r="C930" s="33"/>
      <c r="D930" s="34"/>
      <c r="E930" s="34"/>
      <c r="F930" s="34"/>
      <c r="G930" s="33"/>
      <c r="H930" s="35"/>
      <c r="I930" s="34"/>
      <c r="J930" s="34"/>
      <c r="K930" s="34"/>
      <c r="L930" s="33"/>
      <c r="M930" s="33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  <c r="AO930" s="34"/>
      <c r="AP930" s="34"/>
      <c r="AQ930" s="34"/>
      <c r="AR930" s="34"/>
      <c r="AS930" s="34"/>
    </row>
    <row r="931" spans="1:45" ht="14.4">
      <c r="A931" s="33"/>
      <c r="B931" s="33"/>
      <c r="C931" s="33"/>
      <c r="D931" s="34"/>
      <c r="E931" s="34"/>
      <c r="F931" s="34"/>
      <c r="G931" s="33"/>
      <c r="H931" s="35"/>
      <c r="I931" s="34"/>
      <c r="J931" s="34"/>
      <c r="K931" s="34"/>
      <c r="L931" s="33"/>
      <c r="M931" s="33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  <c r="AO931" s="34"/>
      <c r="AP931" s="34"/>
      <c r="AQ931" s="34"/>
      <c r="AR931" s="34"/>
      <c r="AS931" s="34"/>
    </row>
    <row r="932" spans="1:45" ht="14.4">
      <c r="A932" s="33"/>
      <c r="B932" s="33"/>
      <c r="C932" s="33"/>
      <c r="D932" s="34"/>
      <c r="E932" s="34"/>
      <c r="F932" s="34"/>
      <c r="G932" s="33"/>
      <c r="H932" s="35"/>
      <c r="I932" s="34"/>
      <c r="J932" s="34"/>
      <c r="K932" s="34"/>
      <c r="L932" s="33"/>
      <c r="M932" s="33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  <c r="AO932" s="34"/>
      <c r="AP932" s="34"/>
      <c r="AQ932" s="34"/>
      <c r="AR932" s="34"/>
      <c r="AS932" s="34"/>
    </row>
    <row r="933" spans="1:45" ht="14.4">
      <c r="A933" s="33"/>
      <c r="B933" s="33"/>
      <c r="C933" s="33"/>
      <c r="D933" s="34"/>
      <c r="E933" s="34"/>
      <c r="F933" s="34"/>
      <c r="G933" s="33"/>
      <c r="H933" s="35"/>
      <c r="I933" s="34"/>
      <c r="J933" s="34"/>
      <c r="K933" s="34"/>
      <c r="L933" s="33"/>
      <c r="M933" s="33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  <c r="AO933" s="34"/>
      <c r="AP933" s="34"/>
      <c r="AQ933" s="34"/>
      <c r="AR933" s="34"/>
      <c r="AS933" s="34"/>
    </row>
    <row r="934" spans="1:45" ht="14.4">
      <c r="A934" s="33"/>
      <c r="B934" s="33"/>
      <c r="C934" s="33"/>
      <c r="D934" s="34"/>
      <c r="E934" s="34"/>
      <c r="F934" s="34"/>
      <c r="G934" s="33"/>
      <c r="H934" s="35"/>
      <c r="I934" s="34"/>
      <c r="J934" s="34"/>
      <c r="K934" s="34"/>
      <c r="L934" s="33"/>
      <c r="M934" s="33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  <c r="AO934" s="34"/>
      <c r="AP934" s="34"/>
      <c r="AQ934" s="34"/>
      <c r="AR934" s="34"/>
      <c r="AS934" s="34"/>
    </row>
    <row r="935" spans="1:45" ht="14.4">
      <c r="A935" s="33"/>
      <c r="B935" s="33"/>
      <c r="C935" s="33"/>
      <c r="D935" s="34"/>
      <c r="E935" s="34"/>
      <c r="F935" s="34"/>
      <c r="G935" s="33"/>
      <c r="H935" s="35"/>
      <c r="I935" s="34"/>
      <c r="J935" s="34"/>
      <c r="K935" s="34"/>
      <c r="L935" s="33"/>
      <c r="M935" s="33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  <c r="AO935" s="34"/>
      <c r="AP935" s="34"/>
      <c r="AQ935" s="34"/>
      <c r="AR935" s="34"/>
      <c r="AS935" s="34"/>
    </row>
    <row r="936" spans="1:45" ht="14.4">
      <c r="A936" s="33"/>
      <c r="B936" s="33"/>
      <c r="C936" s="33"/>
      <c r="D936" s="34"/>
      <c r="E936" s="34"/>
      <c r="F936" s="34"/>
      <c r="G936" s="33"/>
      <c r="H936" s="35"/>
      <c r="I936" s="34"/>
      <c r="J936" s="34"/>
      <c r="K936" s="34"/>
      <c r="L936" s="33"/>
      <c r="M936" s="33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  <c r="AO936" s="34"/>
      <c r="AP936" s="34"/>
      <c r="AQ936" s="34"/>
      <c r="AR936" s="34"/>
      <c r="AS936" s="34"/>
    </row>
    <row r="937" spans="1:45" ht="14.4">
      <c r="A937" s="33"/>
      <c r="B937" s="33"/>
      <c r="C937" s="33"/>
      <c r="D937" s="34"/>
      <c r="E937" s="34"/>
      <c r="F937" s="34"/>
      <c r="G937" s="33"/>
      <c r="H937" s="35"/>
      <c r="I937" s="34"/>
      <c r="J937" s="34"/>
      <c r="K937" s="34"/>
      <c r="L937" s="33"/>
      <c r="M937" s="33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  <c r="AO937" s="34"/>
      <c r="AP937" s="34"/>
      <c r="AQ937" s="34"/>
      <c r="AR937" s="34"/>
      <c r="AS937" s="34"/>
    </row>
    <row r="938" spans="1:45" ht="14.4">
      <c r="A938" s="33"/>
      <c r="B938" s="33"/>
      <c r="C938" s="33"/>
      <c r="D938" s="34"/>
      <c r="E938" s="34"/>
      <c r="F938" s="34"/>
      <c r="G938" s="33"/>
      <c r="H938" s="35"/>
      <c r="I938" s="34"/>
      <c r="J938" s="34"/>
      <c r="K938" s="34"/>
      <c r="L938" s="33"/>
      <c r="M938" s="33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  <c r="AO938" s="34"/>
      <c r="AP938" s="34"/>
      <c r="AQ938" s="34"/>
      <c r="AR938" s="34"/>
      <c r="AS938" s="34"/>
    </row>
    <row r="939" spans="1:45" ht="14.4">
      <c r="A939" s="33"/>
      <c r="B939" s="33"/>
      <c r="C939" s="33"/>
      <c r="D939" s="34"/>
      <c r="E939" s="34"/>
      <c r="F939" s="34"/>
      <c r="G939" s="33"/>
      <c r="H939" s="35"/>
      <c r="I939" s="34"/>
      <c r="J939" s="34"/>
      <c r="K939" s="34"/>
      <c r="L939" s="33"/>
      <c r="M939" s="33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  <c r="AO939" s="34"/>
      <c r="AP939" s="34"/>
      <c r="AQ939" s="34"/>
      <c r="AR939" s="34"/>
      <c r="AS939" s="34"/>
    </row>
    <row r="940" spans="1:45" ht="14.4">
      <c r="A940" s="33"/>
      <c r="B940" s="33"/>
      <c r="C940" s="33"/>
      <c r="D940" s="34"/>
      <c r="E940" s="34"/>
      <c r="F940" s="34"/>
      <c r="G940" s="33"/>
      <c r="H940" s="35"/>
      <c r="I940" s="34"/>
      <c r="J940" s="34"/>
      <c r="K940" s="34"/>
      <c r="L940" s="33"/>
      <c r="M940" s="33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  <c r="AO940" s="34"/>
      <c r="AP940" s="34"/>
      <c r="AQ940" s="34"/>
      <c r="AR940" s="34"/>
      <c r="AS940" s="34"/>
    </row>
    <row r="941" spans="1:45" ht="14.4">
      <c r="A941" s="33"/>
      <c r="B941" s="33"/>
      <c r="C941" s="33"/>
      <c r="D941" s="34"/>
      <c r="E941" s="34"/>
      <c r="F941" s="34"/>
      <c r="G941" s="33"/>
      <c r="H941" s="35"/>
      <c r="I941" s="34"/>
      <c r="J941" s="34"/>
      <c r="K941" s="34"/>
      <c r="L941" s="33"/>
      <c r="M941" s="33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  <c r="AO941" s="34"/>
      <c r="AP941" s="34"/>
      <c r="AQ941" s="34"/>
      <c r="AR941" s="34"/>
      <c r="AS941" s="34"/>
    </row>
    <row r="942" spans="1:45" ht="14.4">
      <c r="A942" s="33"/>
      <c r="B942" s="33"/>
      <c r="C942" s="33"/>
      <c r="D942" s="34"/>
      <c r="E942" s="34"/>
      <c r="F942" s="34"/>
      <c r="G942" s="33"/>
      <c r="H942" s="35"/>
      <c r="I942" s="34"/>
      <c r="J942" s="34"/>
      <c r="K942" s="34"/>
      <c r="L942" s="33"/>
      <c r="M942" s="33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  <c r="AO942" s="34"/>
      <c r="AP942" s="34"/>
      <c r="AQ942" s="34"/>
      <c r="AR942" s="34"/>
      <c r="AS942" s="34"/>
    </row>
    <row r="943" spans="1:45" ht="14.4">
      <c r="A943" s="33"/>
      <c r="B943" s="33"/>
      <c r="C943" s="33"/>
      <c r="D943" s="34"/>
      <c r="E943" s="34"/>
      <c r="F943" s="34"/>
      <c r="G943" s="33"/>
      <c r="H943" s="35"/>
      <c r="I943" s="34"/>
      <c r="J943" s="34"/>
      <c r="K943" s="34"/>
      <c r="L943" s="33"/>
      <c r="M943" s="33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  <c r="AO943" s="34"/>
      <c r="AP943" s="34"/>
      <c r="AQ943" s="34"/>
      <c r="AR943" s="34"/>
      <c r="AS943" s="34"/>
    </row>
    <row r="944" spans="1:45" ht="14.4">
      <c r="A944" s="33"/>
      <c r="B944" s="33"/>
      <c r="C944" s="33"/>
      <c r="D944" s="34"/>
      <c r="E944" s="34"/>
      <c r="F944" s="34"/>
      <c r="G944" s="33"/>
      <c r="H944" s="35"/>
      <c r="I944" s="34"/>
      <c r="J944" s="34"/>
      <c r="K944" s="34"/>
      <c r="L944" s="33"/>
      <c r="M944" s="33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  <c r="AO944" s="34"/>
      <c r="AP944" s="34"/>
      <c r="AQ944" s="34"/>
      <c r="AR944" s="34"/>
      <c r="AS944" s="34"/>
    </row>
    <row r="945" spans="1:45" ht="14.4">
      <c r="A945" s="33"/>
      <c r="B945" s="33"/>
      <c r="C945" s="33"/>
      <c r="D945" s="34"/>
      <c r="E945" s="34"/>
      <c r="F945" s="34"/>
      <c r="G945" s="33"/>
      <c r="H945" s="35"/>
      <c r="I945" s="34"/>
      <c r="J945" s="34"/>
      <c r="K945" s="34"/>
      <c r="L945" s="33"/>
      <c r="M945" s="33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  <c r="AO945" s="34"/>
      <c r="AP945" s="34"/>
      <c r="AQ945" s="34"/>
      <c r="AR945" s="34"/>
      <c r="AS945" s="34"/>
    </row>
    <row r="946" spans="1:45" ht="14.4">
      <c r="A946" s="33"/>
      <c r="B946" s="33"/>
      <c r="C946" s="33"/>
      <c r="D946" s="34"/>
      <c r="E946" s="34"/>
      <c r="F946" s="34"/>
      <c r="G946" s="33"/>
      <c r="H946" s="35"/>
      <c r="I946" s="34"/>
      <c r="J946" s="34"/>
      <c r="K946" s="34"/>
      <c r="L946" s="33"/>
      <c r="M946" s="33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  <c r="AO946" s="34"/>
      <c r="AP946" s="34"/>
      <c r="AQ946" s="34"/>
      <c r="AR946" s="34"/>
      <c r="AS946" s="34"/>
    </row>
    <row r="947" spans="1:45" ht="14.4">
      <c r="A947" s="33"/>
      <c r="B947" s="33"/>
      <c r="C947" s="33"/>
      <c r="D947" s="34"/>
      <c r="E947" s="34"/>
      <c r="F947" s="34"/>
      <c r="G947" s="33"/>
      <c r="H947" s="35"/>
      <c r="I947" s="34"/>
      <c r="J947" s="34"/>
      <c r="K947" s="34"/>
      <c r="L947" s="33"/>
      <c r="M947" s="33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  <c r="AO947" s="34"/>
      <c r="AP947" s="34"/>
      <c r="AQ947" s="34"/>
      <c r="AR947" s="34"/>
      <c r="AS947" s="34"/>
    </row>
    <row r="948" spans="1:45" ht="14.4">
      <c r="A948" s="33"/>
      <c r="B948" s="33"/>
      <c r="C948" s="33"/>
      <c r="D948" s="34"/>
      <c r="E948" s="34"/>
      <c r="F948" s="34"/>
      <c r="G948" s="33"/>
      <c r="H948" s="35"/>
      <c r="I948" s="34"/>
      <c r="J948" s="34"/>
      <c r="K948" s="34"/>
      <c r="L948" s="33"/>
      <c r="M948" s="33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  <c r="AO948" s="34"/>
      <c r="AP948" s="34"/>
      <c r="AQ948" s="34"/>
      <c r="AR948" s="34"/>
      <c r="AS948" s="34"/>
    </row>
    <row r="949" spans="1:45" ht="14.4">
      <c r="A949" s="33"/>
      <c r="B949" s="33"/>
      <c r="C949" s="33"/>
      <c r="D949" s="34"/>
      <c r="E949" s="34"/>
      <c r="F949" s="34"/>
      <c r="G949" s="33"/>
      <c r="H949" s="35"/>
      <c r="I949" s="34"/>
      <c r="J949" s="34"/>
      <c r="K949" s="34"/>
      <c r="L949" s="33"/>
      <c r="M949" s="33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  <c r="AO949" s="34"/>
      <c r="AP949" s="34"/>
      <c r="AQ949" s="34"/>
      <c r="AR949" s="34"/>
      <c r="AS949" s="34"/>
    </row>
    <row r="950" spans="1:45" ht="14.4">
      <c r="A950" s="33"/>
      <c r="B950" s="33"/>
      <c r="C950" s="33"/>
      <c r="D950" s="34"/>
      <c r="E950" s="34"/>
      <c r="F950" s="34"/>
      <c r="G950" s="33"/>
      <c r="H950" s="35"/>
      <c r="I950" s="34"/>
      <c r="J950" s="34"/>
      <c r="K950" s="34"/>
      <c r="L950" s="33"/>
      <c r="M950" s="33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  <c r="AO950" s="34"/>
      <c r="AP950" s="34"/>
      <c r="AQ950" s="34"/>
      <c r="AR950" s="34"/>
      <c r="AS950" s="34"/>
    </row>
    <row r="951" spans="1:45" ht="14.4">
      <c r="A951" s="33"/>
      <c r="B951" s="33"/>
      <c r="C951" s="33"/>
      <c r="D951" s="34"/>
      <c r="E951" s="34"/>
      <c r="F951" s="34"/>
      <c r="G951" s="33"/>
      <c r="H951" s="35"/>
      <c r="I951" s="34"/>
      <c r="J951" s="34"/>
      <c r="K951" s="34"/>
      <c r="L951" s="33"/>
      <c r="M951" s="33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  <c r="AO951" s="34"/>
      <c r="AP951" s="34"/>
      <c r="AQ951" s="34"/>
      <c r="AR951" s="34"/>
      <c r="AS951" s="34"/>
    </row>
    <row r="952" spans="1:45" ht="14.4">
      <c r="A952" s="33"/>
      <c r="B952" s="33"/>
      <c r="C952" s="33"/>
      <c r="D952" s="34"/>
      <c r="E952" s="34"/>
      <c r="F952" s="34"/>
      <c r="G952" s="33"/>
      <c r="H952" s="35"/>
      <c r="I952" s="34"/>
      <c r="J952" s="34"/>
      <c r="K952" s="34"/>
      <c r="L952" s="33"/>
      <c r="M952" s="33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  <c r="AO952" s="34"/>
      <c r="AP952" s="34"/>
      <c r="AQ952" s="34"/>
      <c r="AR952" s="34"/>
      <c r="AS952" s="34"/>
    </row>
    <row r="953" spans="1:45" ht="14.4">
      <c r="A953" s="33"/>
      <c r="B953" s="33"/>
      <c r="C953" s="33"/>
      <c r="D953" s="34"/>
      <c r="E953" s="34"/>
      <c r="F953" s="34"/>
      <c r="G953" s="33"/>
      <c r="H953" s="35"/>
      <c r="I953" s="34"/>
      <c r="J953" s="34"/>
      <c r="K953" s="34"/>
      <c r="L953" s="33"/>
      <c r="M953" s="33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  <c r="AO953" s="34"/>
      <c r="AP953" s="34"/>
      <c r="AQ953" s="34"/>
      <c r="AR953" s="34"/>
      <c r="AS953" s="34"/>
    </row>
    <row r="954" spans="1:45" ht="14.4">
      <c r="A954" s="33"/>
      <c r="B954" s="33"/>
      <c r="C954" s="33"/>
      <c r="D954" s="34"/>
      <c r="E954" s="34"/>
      <c r="F954" s="34"/>
      <c r="G954" s="33"/>
      <c r="H954" s="35"/>
      <c r="I954" s="34"/>
      <c r="J954" s="34"/>
      <c r="K954" s="34"/>
      <c r="L954" s="33"/>
      <c r="M954" s="33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  <c r="AO954" s="34"/>
      <c r="AP954" s="34"/>
      <c r="AQ954" s="34"/>
      <c r="AR954" s="34"/>
      <c r="AS954" s="34"/>
    </row>
    <row r="955" spans="1:45" ht="14.4">
      <c r="A955" s="33"/>
      <c r="B955" s="33"/>
      <c r="C955" s="33"/>
      <c r="D955" s="34"/>
      <c r="E955" s="34"/>
      <c r="F955" s="34"/>
      <c r="G955" s="33"/>
      <c r="H955" s="35"/>
      <c r="I955" s="34"/>
      <c r="J955" s="34"/>
      <c r="K955" s="34"/>
      <c r="L955" s="33"/>
      <c r="M955" s="33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  <c r="AO955" s="34"/>
      <c r="AP955" s="34"/>
      <c r="AQ955" s="34"/>
      <c r="AR955" s="34"/>
      <c r="AS955" s="34"/>
    </row>
    <row r="956" spans="1:45" ht="14.4">
      <c r="A956" s="33"/>
      <c r="B956" s="33"/>
      <c r="C956" s="33"/>
      <c r="D956" s="34"/>
      <c r="E956" s="34"/>
      <c r="F956" s="34"/>
      <c r="G956" s="33"/>
      <c r="H956" s="35"/>
      <c r="I956" s="34"/>
      <c r="J956" s="34"/>
      <c r="K956" s="34"/>
      <c r="L956" s="33"/>
      <c r="M956" s="33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  <c r="AO956" s="34"/>
      <c r="AP956" s="34"/>
      <c r="AQ956" s="34"/>
      <c r="AR956" s="34"/>
      <c r="AS956" s="34"/>
    </row>
    <row r="957" spans="1:45" ht="14.4">
      <c r="A957" s="33"/>
      <c r="B957" s="33"/>
      <c r="C957" s="33"/>
      <c r="D957" s="34"/>
      <c r="E957" s="34"/>
      <c r="F957" s="34"/>
      <c r="G957" s="33"/>
      <c r="H957" s="35"/>
      <c r="I957" s="34"/>
      <c r="J957" s="34"/>
      <c r="K957" s="34"/>
      <c r="L957" s="33"/>
      <c r="M957" s="33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  <c r="AO957" s="34"/>
      <c r="AP957" s="34"/>
      <c r="AQ957" s="34"/>
      <c r="AR957" s="34"/>
      <c r="AS957" s="34"/>
    </row>
    <row r="958" spans="1:45" ht="14.4">
      <c r="A958" s="33"/>
      <c r="B958" s="33"/>
      <c r="C958" s="33"/>
      <c r="D958" s="34"/>
      <c r="E958" s="34"/>
      <c r="F958" s="34"/>
      <c r="G958" s="33"/>
      <c r="H958" s="35"/>
      <c r="I958" s="34"/>
      <c r="J958" s="34"/>
      <c r="K958" s="34"/>
      <c r="L958" s="33"/>
      <c r="M958" s="33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  <c r="AO958" s="34"/>
      <c r="AP958" s="34"/>
      <c r="AQ958" s="34"/>
      <c r="AR958" s="34"/>
      <c r="AS958" s="34"/>
    </row>
    <row r="959" spans="1:45" ht="14.4">
      <c r="A959" s="33"/>
      <c r="B959" s="33"/>
      <c r="C959" s="33"/>
      <c r="D959" s="34"/>
      <c r="E959" s="34"/>
      <c r="F959" s="34"/>
      <c r="G959" s="33"/>
      <c r="H959" s="35"/>
      <c r="I959" s="34"/>
      <c r="J959" s="34"/>
      <c r="K959" s="34"/>
      <c r="L959" s="33"/>
      <c r="M959" s="33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  <c r="AO959" s="34"/>
      <c r="AP959" s="34"/>
      <c r="AQ959" s="34"/>
      <c r="AR959" s="34"/>
      <c r="AS959" s="34"/>
    </row>
    <row r="960" spans="1:45" ht="14.4">
      <c r="A960" s="33"/>
      <c r="B960" s="33"/>
      <c r="C960" s="33"/>
      <c r="D960" s="34"/>
      <c r="E960" s="34"/>
      <c r="F960" s="34"/>
      <c r="G960" s="33"/>
      <c r="H960" s="35"/>
      <c r="I960" s="34"/>
      <c r="J960" s="34"/>
      <c r="K960" s="34"/>
      <c r="L960" s="33"/>
      <c r="M960" s="33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  <c r="AO960" s="34"/>
      <c r="AP960" s="34"/>
      <c r="AQ960" s="34"/>
      <c r="AR960" s="34"/>
      <c r="AS960" s="34"/>
    </row>
    <row r="961" spans="1:45" ht="14.4">
      <c r="A961" s="33"/>
      <c r="B961" s="33"/>
      <c r="C961" s="33"/>
      <c r="D961" s="34"/>
      <c r="E961" s="34"/>
      <c r="F961" s="34"/>
      <c r="G961" s="33"/>
      <c r="H961" s="35"/>
      <c r="I961" s="34"/>
      <c r="J961" s="34"/>
      <c r="K961" s="34"/>
      <c r="L961" s="33"/>
      <c r="M961" s="33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  <c r="AO961" s="34"/>
      <c r="AP961" s="34"/>
      <c r="AQ961" s="34"/>
      <c r="AR961" s="34"/>
      <c r="AS961" s="34"/>
    </row>
    <row r="962" spans="1:45" ht="14.4">
      <c r="A962" s="33"/>
      <c r="B962" s="33"/>
      <c r="C962" s="33"/>
      <c r="D962" s="34"/>
      <c r="E962" s="34"/>
      <c r="F962" s="34"/>
      <c r="G962" s="33"/>
      <c r="H962" s="35"/>
      <c r="I962" s="34"/>
      <c r="J962" s="34"/>
      <c r="K962" s="34"/>
      <c r="L962" s="33"/>
      <c r="M962" s="33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  <c r="AO962" s="34"/>
      <c r="AP962" s="34"/>
      <c r="AQ962" s="34"/>
      <c r="AR962" s="34"/>
      <c r="AS962" s="34"/>
    </row>
    <row r="963" spans="1:45" ht="14.4">
      <c r="A963" s="33"/>
      <c r="B963" s="33"/>
      <c r="C963" s="33"/>
      <c r="D963" s="34"/>
      <c r="E963" s="34"/>
      <c r="F963" s="34"/>
      <c r="G963" s="33"/>
      <c r="H963" s="35"/>
      <c r="I963" s="34"/>
      <c r="J963" s="34"/>
      <c r="K963" s="34"/>
      <c r="L963" s="33"/>
      <c r="M963" s="33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  <c r="AO963" s="34"/>
      <c r="AP963" s="34"/>
      <c r="AQ963" s="34"/>
      <c r="AR963" s="34"/>
      <c r="AS963" s="34"/>
    </row>
    <row r="964" spans="1:45" ht="14.4">
      <c r="A964" s="33"/>
      <c r="B964" s="33"/>
      <c r="C964" s="33"/>
      <c r="D964" s="34"/>
      <c r="E964" s="34"/>
      <c r="F964" s="34"/>
      <c r="G964" s="33"/>
      <c r="H964" s="35"/>
      <c r="I964" s="34"/>
      <c r="J964" s="34"/>
      <c r="K964" s="34"/>
      <c r="L964" s="33"/>
      <c r="M964" s="33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  <c r="AO964" s="34"/>
      <c r="AP964" s="34"/>
      <c r="AQ964" s="34"/>
      <c r="AR964" s="34"/>
      <c r="AS964" s="34"/>
    </row>
    <row r="965" spans="1:45" ht="14.4">
      <c r="A965" s="33"/>
      <c r="B965" s="33"/>
      <c r="C965" s="33"/>
      <c r="D965" s="34"/>
      <c r="E965" s="34"/>
      <c r="F965" s="34"/>
      <c r="G965" s="33"/>
      <c r="H965" s="35"/>
      <c r="I965" s="34"/>
      <c r="J965" s="34"/>
      <c r="K965" s="34"/>
      <c r="L965" s="33"/>
      <c r="M965" s="33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  <c r="AO965" s="34"/>
      <c r="AP965" s="34"/>
      <c r="AQ965" s="34"/>
      <c r="AR965" s="34"/>
      <c r="AS965" s="34"/>
    </row>
    <row r="966" spans="1:45" ht="14.4">
      <c r="A966" s="33"/>
      <c r="B966" s="33"/>
      <c r="C966" s="33"/>
      <c r="D966" s="34"/>
      <c r="E966" s="34"/>
      <c r="F966" s="34"/>
      <c r="G966" s="33"/>
      <c r="H966" s="35"/>
      <c r="I966" s="34"/>
      <c r="J966" s="34"/>
      <c r="K966" s="34"/>
      <c r="L966" s="33"/>
      <c r="M966" s="33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  <c r="AO966" s="34"/>
      <c r="AP966" s="34"/>
      <c r="AQ966" s="34"/>
      <c r="AR966" s="34"/>
      <c r="AS966" s="34"/>
    </row>
    <row r="967" spans="1:45" ht="14.4">
      <c r="A967" s="33"/>
      <c r="B967" s="33"/>
      <c r="C967" s="33"/>
      <c r="D967" s="34"/>
      <c r="E967" s="34"/>
      <c r="F967" s="34"/>
      <c r="G967" s="33"/>
      <c r="H967" s="35"/>
      <c r="I967" s="34"/>
      <c r="J967" s="34"/>
      <c r="K967" s="34"/>
      <c r="L967" s="33"/>
      <c r="M967" s="33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  <c r="AO967" s="34"/>
      <c r="AP967" s="34"/>
      <c r="AQ967" s="34"/>
      <c r="AR967" s="34"/>
      <c r="AS967" s="34"/>
    </row>
    <row r="968" spans="1:45" ht="14.4">
      <c r="A968" s="33"/>
      <c r="B968" s="33"/>
      <c r="C968" s="33"/>
      <c r="D968" s="34"/>
      <c r="E968" s="34"/>
      <c r="F968" s="34"/>
      <c r="G968" s="33"/>
      <c r="H968" s="35"/>
      <c r="I968" s="34"/>
      <c r="J968" s="34"/>
      <c r="K968" s="34"/>
      <c r="L968" s="33"/>
      <c r="M968" s="33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  <c r="AO968" s="34"/>
      <c r="AP968" s="34"/>
      <c r="AQ968" s="34"/>
      <c r="AR968" s="34"/>
      <c r="AS968" s="34"/>
    </row>
    <row r="969" spans="1:45" ht="14.4">
      <c r="A969" s="33"/>
      <c r="B969" s="33"/>
      <c r="C969" s="33"/>
      <c r="D969" s="34"/>
      <c r="E969" s="34"/>
      <c r="F969" s="34"/>
      <c r="G969" s="33"/>
      <c r="H969" s="35"/>
      <c r="I969" s="34"/>
      <c r="J969" s="34"/>
      <c r="K969" s="34"/>
      <c r="L969" s="33"/>
      <c r="M969" s="33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  <c r="AO969" s="34"/>
      <c r="AP969" s="34"/>
      <c r="AQ969" s="34"/>
      <c r="AR969" s="34"/>
      <c r="AS969" s="34"/>
    </row>
    <row r="970" spans="1:45" ht="14.4">
      <c r="A970" s="33"/>
      <c r="B970" s="33"/>
      <c r="C970" s="33"/>
      <c r="D970" s="34"/>
      <c r="E970" s="34"/>
      <c r="F970" s="34"/>
      <c r="G970" s="33"/>
      <c r="H970" s="35"/>
      <c r="I970" s="34"/>
      <c r="J970" s="34"/>
      <c r="K970" s="34"/>
      <c r="L970" s="33"/>
      <c r="M970" s="33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  <c r="AO970" s="34"/>
      <c r="AP970" s="34"/>
      <c r="AQ970" s="34"/>
      <c r="AR970" s="34"/>
      <c r="AS970" s="34"/>
    </row>
    <row r="971" spans="1:45" ht="14.4">
      <c r="A971" s="33"/>
      <c r="B971" s="33"/>
      <c r="C971" s="33"/>
      <c r="D971" s="34"/>
      <c r="E971" s="34"/>
      <c r="F971" s="34"/>
      <c r="G971" s="33"/>
      <c r="H971" s="35"/>
      <c r="I971" s="34"/>
      <c r="J971" s="34"/>
      <c r="K971" s="34"/>
      <c r="L971" s="33"/>
      <c r="M971" s="33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  <c r="AO971" s="34"/>
      <c r="AP971" s="34"/>
      <c r="AQ971" s="34"/>
      <c r="AR971" s="34"/>
      <c r="AS971" s="34"/>
    </row>
    <row r="972" spans="1:45" ht="14.4">
      <c r="A972" s="33"/>
      <c r="B972" s="33"/>
      <c r="C972" s="33"/>
      <c r="D972" s="34"/>
      <c r="E972" s="34"/>
      <c r="F972" s="34"/>
      <c r="G972" s="33"/>
      <c r="H972" s="35"/>
      <c r="I972" s="34"/>
      <c r="J972" s="34"/>
      <c r="K972" s="34"/>
      <c r="L972" s="33"/>
      <c r="M972" s="33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  <c r="AO972" s="34"/>
      <c r="AP972" s="34"/>
      <c r="AQ972" s="34"/>
      <c r="AR972" s="34"/>
      <c r="AS972" s="34"/>
    </row>
    <row r="973" spans="1:45" ht="14.4">
      <c r="A973" s="33"/>
      <c r="B973" s="33"/>
      <c r="C973" s="33"/>
      <c r="D973" s="34"/>
      <c r="E973" s="34"/>
      <c r="F973" s="34"/>
      <c r="G973" s="33"/>
      <c r="H973" s="35"/>
      <c r="I973" s="34"/>
      <c r="J973" s="34"/>
      <c r="K973" s="34"/>
      <c r="L973" s="33"/>
      <c r="M973" s="33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  <c r="AO973" s="34"/>
      <c r="AP973" s="34"/>
      <c r="AQ973" s="34"/>
      <c r="AR973" s="34"/>
      <c r="AS973" s="34"/>
    </row>
    <row r="974" spans="1:45" ht="14.4">
      <c r="A974" s="33"/>
      <c r="B974" s="33"/>
      <c r="C974" s="33"/>
      <c r="D974" s="34"/>
      <c r="E974" s="34"/>
      <c r="F974" s="34"/>
      <c r="G974" s="33"/>
      <c r="H974" s="35"/>
      <c r="I974" s="34"/>
      <c r="J974" s="34"/>
      <c r="K974" s="34"/>
      <c r="L974" s="33"/>
      <c r="M974" s="33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  <c r="AO974" s="34"/>
      <c r="AP974" s="34"/>
      <c r="AQ974" s="34"/>
      <c r="AR974" s="34"/>
      <c r="AS974" s="34"/>
    </row>
    <row r="975" spans="1:45" ht="14.4">
      <c r="A975" s="33"/>
      <c r="B975" s="33"/>
      <c r="C975" s="33"/>
      <c r="D975" s="34"/>
      <c r="E975" s="34"/>
      <c r="F975" s="34"/>
      <c r="G975" s="33"/>
      <c r="H975" s="35"/>
      <c r="I975" s="34"/>
      <c r="J975" s="34"/>
      <c r="K975" s="34"/>
      <c r="L975" s="33"/>
      <c r="M975" s="33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  <c r="AO975" s="34"/>
      <c r="AP975" s="34"/>
      <c r="AQ975" s="34"/>
      <c r="AR975" s="34"/>
      <c r="AS975" s="34"/>
    </row>
    <row r="976" spans="1:45" ht="14.4">
      <c r="A976" s="33"/>
      <c r="B976" s="33"/>
      <c r="C976" s="33"/>
      <c r="D976" s="34"/>
      <c r="E976" s="34"/>
      <c r="F976" s="34"/>
      <c r="G976" s="33"/>
      <c r="H976" s="35"/>
      <c r="I976" s="34"/>
      <c r="J976" s="34"/>
      <c r="K976" s="34"/>
      <c r="L976" s="33"/>
      <c r="M976" s="33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  <c r="AO976" s="34"/>
      <c r="AP976" s="34"/>
      <c r="AQ976" s="34"/>
      <c r="AR976" s="34"/>
      <c r="AS976" s="34"/>
    </row>
    <row r="977" spans="1:45" ht="14.4">
      <c r="A977" s="33"/>
      <c r="B977" s="33"/>
      <c r="C977" s="33"/>
      <c r="D977" s="34"/>
      <c r="E977" s="34"/>
      <c r="F977" s="34"/>
      <c r="G977" s="33"/>
      <c r="H977" s="35"/>
      <c r="I977" s="34"/>
      <c r="J977" s="34"/>
      <c r="K977" s="34"/>
      <c r="L977" s="33"/>
      <c r="M977" s="33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  <c r="AO977" s="34"/>
      <c r="AP977" s="34"/>
      <c r="AQ977" s="34"/>
      <c r="AR977" s="34"/>
      <c r="AS977" s="34"/>
    </row>
    <row r="978" spans="1:45" ht="14.4">
      <c r="A978" s="33"/>
      <c r="B978" s="33"/>
      <c r="C978" s="33"/>
      <c r="D978" s="34"/>
      <c r="E978" s="34"/>
      <c r="F978" s="34"/>
      <c r="G978" s="33"/>
      <c r="H978" s="35"/>
      <c r="I978" s="34"/>
      <c r="J978" s="34"/>
      <c r="K978" s="34"/>
      <c r="L978" s="33"/>
      <c r="M978" s="33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  <c r="AO978" s="34"/>
      <c r="AP978" s="34"/>
      <c r="AQ978" s="34"/>
      <c r="AR978" s="34"/>
      <c r="AS978" s="34"/>
    </row>
    <row r="979" spans="1:45" ht="14.4">
      <c r="A979" s="33"/>
      <c r="B979" s="33"/>
      <c r="C979" s="33"/>
      <c r="D979" s="34"/>
      <c r="E979" s="34"/>
      <c r="F979" s="34"/>
      <c r="G979" s="33"/>
      <c r="H979" s="35"/>
      <c r="I979" s="34"/>
      <c r="J979" s="34"/>
      <c r="K979" s="34"/>
      <c r="L979" s="33"/>
      <c r="M979" s="33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  <c r="AO979" s="34"/>
      <c r="AP979" s="34"/>
      <c r="AQ979" s="34"/>
      <c r="AR979" s="34"/>
      <c r="AS979" s="34"/>
    </row>
    <row r="980" spans="1:45" ht="14.4">
      <c r="A980" s="33"/>
      <c r="B980" s="33"/>
      <c r="C980" s="33"/>
      <c r="D980" s="34"/>
      <c r="E980" s="34"/>
      <c r="F980" s="34"/>
      <c r="G980" s="33"/>
      <c r="H980" s="35"/>
      <c r="I980" s="34"/>
      <c r="J980" s="34"/>
      <c r="K980" s="34"/>
      <c r="L980" s="33"/>
      <c r="M980" s="33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  <c r="AO980" s="34"/>
      <c r="AP980" s="34"/>
      <c r="AQ980" s="34"/>
      <c r="AR980" s="34"/>
      <c r="AS980" s="34"/>
    </row>
    <row r="981" spans="1:45" ht="14.4">
      <c r="A981" s="33"/>
      <c r="B981" s="33"/>
      <c r="C981" s="33"/>
      <c r="D981" s="34"/>
      <c r="E981" s="34"/>
      <c r="F981" s="34"/>
      <c r="G981" s="33"/>
      <c r="H981" s="35"/>
      <c r="I981" s="34"/>
      <c r="J981" s="34"/>
      <c r="K981" s="34"/>
      <c r="L981" s="33"/>
      <c r="M981" s="33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  <c r="AO981" s="34"/>
      <c r="AP981" s="34"/>
      <c r="AQ981" s="34"/>
      <c r="AR981" s="34"/>
      <c r="AS981" s="34"/>
    </row>
    <row r="982" spans="1:45" ht="14.4">
      <c r="A982" s="33"/>
      <c r="B982" s="33"/>
      <c r="C982" s="33"/>
      <c r="D982" s="34"/>
      <c r="E982" s="34"/>
      <c r="F982" s="34"/>
      <c r="G982" s="33"/>
      <c r="H982" s="35"/>
      <c r="I982" s="34"/>
      <c r="J982" s="34"/>
      <c r="K982" s="34"/>
      <c r="L982" s="33"/>
      <c r="M982" s="33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  <c r="AO982" s="34"/>
      <c r="AP982" s="34"/>
      <c r="AQ982" s="34"/>
      <c r="AR982" s="34"/>
      <c r="AS982" s="34"/>
    </row>
    <row r="983" spans="1:45" ht="14.4">
      <c r="A983" s="33"/>
      <c r="B983" s="33"/>
      <c r="C983" s="33"/>
      <c r="D983" s="34"/>
      <c r="E983" s="34"/>
      <c r="F983" s="34"/>
      <c r="G983" s="33"/>
      <c r="H983" s="35"/>
      <c r="I983" s="34"/>
      <c r="J983" s="34"/>
      <c r="K983" s="34"/>
      <c r="L983" s="33"/>
      <c r="M983" s="33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  <c r="AO983" s="34"/>
      <c r="AP983" s="34"/>
      <c r="AQ983" s="34"/>
      <c r="AR983" s="34"/>
      <c r="AS983" s="34"/>
    </row>
    <row r="984" spans="1:45" ht="14.4">
      <c r="A984" s="33"/>
      <c r="B984" s="33"/>
      <c r="C984" s="33"/>
      <c r="D984" s="34"/>
      <c r="E984" s="34"/>
      <c r="F984" s="34"/>
      <c r="G984" s="33"/>
      <c r="H984" s="35"/>
      <c r="I984" s="34"/>
      <c r="J984" s="34"/>
      <c r="K984" s="34"/>
      <c r="L984" s="33"/>
      <c r="M984" s="33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  <c r="AO984" s="34"/>
      <c r="AP984" s="34"/>
      <c r="AQ984" s="34"/>
      <c r="AR984" s="34"/>
      <c r="AS984" s="34"/>
    </row>
    <row r="985" spans="1:45" ht="14.4">
      <c r="A985" s="33"/>
      <c r="B985" s="33"/>
      <c r="C985" s="33"/>
      <c r="D985" s="34"/>
      <c r="E985" s="34"/>
      <c r="F985" s="34"/>
      <c r="G985" s="33"/>
      <c r="H985" s="35"/>
      <c r="I985" s="34"/>
      <c r="J985" s="34"/>
      <c r="K985" s="34"/>
      <c r="L985" s="33"/>
      <c r="M985" s="33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  <c r="AO985" s="34"/>
      <c r="AP985" s="34"/>
      <c r="AQ985" s="34"/>
      <c r="AR985" s="34"/>
      <c r="AS985" s="34"/>
    </row>
    <row r="986" spans="1:45" ht="14.4">
      <c r="A986" s="33"/>
      <c r="B986" s="33"/>
      <c r="C986" s="33"/>
      <c r="D986" s="34"/>
      <c r="E986" s="34"/>
      <c r="F986" s="34"/>
      <c r="G986" s="33"/>
      <c r="H986" s="35"/>
      <c r="I986" s="34"/>
      <c r="J986" s="34"/>
      <c r="K986" s="34"/>
      <c r="L986" s="33"/>
      <c r="M986" s="33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  <c r="AO986" s="34"/>
      <c r="AP986" s="34"/>
      <c r="AQ986" s="34"/>
      <c r="AR986" s="34"/>
      <c r="AS986" s="34"/>
    </row>
    <row r="987" spans="1:45" ht="14.4">
      <c r="A987" s="33"/>
      <c r="B987" s="33"/>
      <c r="C987" s="33"/>
      <c r="D987" s="34"/>
      <c r="E987" s="34"/>
      <c r="F987" s="34"/>
      <c r="G987" s="33"/>
      <c r="H987" s="35"/>
      <c r="I987" s="34"/>
      <c r="J987" s="34"/>
      <c r="K987" s="34"/>
      <c r="L987" s="33"/>
      <c r="M987" s="33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  <c r="AO987" s="34"/>
      <c r="AP987" s="34"/>
      <c r="AQ987" s="34"/>
      <c r="AR987" s="34"/>
      <c r="AS987" s="34"/>
    </row>
    <row r="988" spans="1:45" ht="14.4">
      <c r="A988" s="33"/>
      <c r="B988" s="33"/>
      <c r="C988" s="33"/>
      <c r="D988" s="34"/>
      <c r="E988" s="34"/>
      <c r="F988" s="34"/>
      <c r="G988" s="33"/>
      <c r="H988" s="35"/>
      <c r="I988" s="34"/>
      <c r="J988" s="34"/>
      <c r="K988" s="34"/>
      <c r="L988" s="33"/>
      <c r="M988" s="33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  <c r="AO988" s="34"/>
      <c r="AP988" s="34"/>
      <c r="AQ988" s="34"/>
      <c r="AR988" s="34"/>
      <c r="AS988" s="34"/>
    </row>
    <row r="989" spans="1:45" ht="14.4">
      <c r="A989" s="33"/>
      <c r="B989" s="33"/>
      <c r="C989" s="33"/>
      <c r="D989" s="34"/>
      <c r="E989" s="34"/>
      <c r="F989" s="34"/>
      <c r="G989" s="33"/>
      <c r="H989" s="35"/>
      <c r="I989" s="34"/>
      <c r="J989" s="34"/>
      <c r="K989" s="34"/>
      <c r="L989" s="33"/>
      <c r="M989" s="33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  <c r="AO989" s="34"/>
      <c r="AP989" s="34"/>
      <c r="AQ989" s="34"/>
      <c r="AR989" s="34"/>
      <c r="AS989" s="34"/>
    </row>
    <row r="990" spans="1:45" ht="14.4">
      <c r="A990" s="33"/>
      <c r="B990" s="33"/>
      <c r="C990" s="33"/>
      <c r="D990" s="34"/>
      <c r="E990" s="34"/>
      <c r="F990" s="34"/>
      <c r="G990" s="33"/>
      <c r="H990" s="35"/>
      <c r="I990" s="34"/>
      <c r="J990" s="34"/>
      <c r="K990" s="34"/>
      <c r="L990" s="33"/>
      <c r="M990" s="33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  <c r="AO990" s="34"/>
      <c r="AP990" s="34"/>
      <c r="AQ990" s="34"/>
      <c r="AR990" s="34"/>
      <c r="AS990" s="34"/>
    </row>
    <row r="991" spans="1:45" ht="14.4">
      <c r="A991" s="33"/>
      <c r="B991" s="33"/>
      <c r="C991" s="33"/>
      <c r="D991" s="34"/>
      <c r="E991" s="34"/>
      <c r="F991" s="34"/>
      <c r="G991" s="33"/>
      <c r="H991" s="35"/>
      <c r="I991" s="34"/>
      <c r="J991" s="34"/>
      <c r="K991" s="34"/>
      <c r="L991" s="33"/>
      <c r="M991" s="33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  <c r="AO991" s="34"/>
      <c r="AP991" s="34"/>
      <c r="AQ991" s="34"/>
      <c r="AR991" s="34"/>
      <c r="AS991" s="34"/>
    </row>
    <row r="992" spans="1:45" ht="14.4">
      <c r="A992" s="33"/>
      <c r="B992" s="33"/>
      <c r="C992" s="33"/>
      <c r="D992" s="34"/>
      <c r="E992" s="34"/>
      <c r="F992" s="34"/>
      <c r="G992" s="33"/>
      <c r="H992" s="35"/>
      <c r="I992" s="34"/>
      <c r="J992" s="34"/>
      <c r="K992" s="34"/>
      <c r="L992" s="33"/>
      <c r="M992" s="33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  <c r="AO992" s="34"/>
      <c r="AP992" s="34"/>
      <c r="AQ992" s="34"/>
      <c r="AR992" s="34"/>
      <c r="AS992" s="34"/>
    </row>
    <row r="993" spans="1:45" ht="14.4">
      <c r="A993" s="33"/>
      <c r="B993" s="33"/>
      <c r="C993" s="33"/>
      <c r="D993" s="34"/>
      <c r="E993" s="34"/>
      <c r="F993" s="34"/>
      <c r="G993" s="33"/>
      <c r="H993" s="35"/>
      <c r="I993" s="34"/>
      <c r="J993" s="34"/>
      <c r="K993" s="34"/>
      <c r="L993" s="33"/>
      <c r="M993" s="33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  <c r="AO993" s="34"/>
      <c r="AP993" s="34"/>
      <c r="AQ993" s="34"/>
      <c r="AR993" s="34"/>
      <c r="AS993" s="34"/>
    </row>
    <row r="994" spans="1:45" ht="14.4">
      <c r="A994" s="33"/>
      <c r="B994" s="33"/>
      <c r="C994" s="33"/>
      <c r="D994" s="34"/>
      <c r="E994" s="34"/>
      <c r="F994" s="34"/>
      <c r="G994" s="33"/>
      <c r="H994" s="35"/>
      <c r="I994" s="34"/>
      <c r="J994" s="34"/>
      <c r="K994" s="34"/>
      <c r="L994" s="33"/>
      <c r="M994" s="33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  <c r="AO994" s="34"/>
      <c r="AP994" s="34"/>
      <c r="AQ994" s="34"/>
      <c r="AR994" s="34"/>
      <c r="AS994" s="34"/>
    </row>
    <row r="995" spans="1:45" ht="14.4">
      <c r="A995" s="33"/>
      <c r="B995" s="33"/>
      <c r="C995" s="33"/>
      <c r="D995" s="34"/>
      <c r="E995" s="34"/>
      <c r="F995" s="34"/>
      <c r="G995" s="33"/>
      <c r="H995" s="35"/>
      <c r="I995" s="34"/>
      <c r="J995" s="34"/>
      <c r="K995" s="34"/>
      <c r="L995" s="33"/>
      <c r="M995" s="33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  <c r="AO995" s="34"/>
      <c r="AP995" s="34"/>
      <c r="AQ995" s="34"/>
      <c r="AR995" s="34"/>
      <c r="AS995" s="34"/>
    </row>
    <row r="996" spans="1:45" ht="14.4">
      <c r="A996" s="33"/>
      <c r="B996" s="33"/>
      <c r="C996" s="33"/>
      <c r="D996" s="34"/>
      <c r="E996" s="34"/>
      <c r="F996" s="34"/>
      <c r="G996" s="33"/>
      <c r="H996" s="35"/>
      <c r="I996" s="34"/>
      <c r="J996" s="34"/>
      <c r="K996" s="34"/>
      <c r="L996" s="33"/>
      <c r="M996" s="33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  <c r="AO996" s="34"/>
      <c r="AP996" s="34"/>
      <c r="AQ996" s="34"/>
      <c r="AR996" s="34"/>
      <c r="AS996" s="34"/>
    </row>
    <row r="997" spans="1:45" ht="14.4">
      <c r="A997" s="33"/>
      <c r="B997" s="33"/>
      <c r="C997" s="33"/>
      <c r="D997" s="34"/>
      <c r="E997" s="34"/>
      <c r="F997" s="34"/>
      <c r="G997" s="33"/>
      <c r="H997" s="35"/>
      <c r="I997" s="34"/>
      <c r="J997" s="34"/>
      <c r="K997" s="34"/>
      <c r="L997" s="33"/>
      <c r="M997" s="33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  <c r="AO997" s="34"/>
      <c r="AP997" s="34"/>
      <c r="AQ997" s="34"/>
      <c r="AR997" s="34"/>
      <c r="AS997" s="34"/>
    </row>
    <row r="998" spans="1:45" ht="14.4">
      <c r="A998" s="33"/>
      <c r="B998" s="33"/>
      <c r="C998" s="33"/>
      <c r="D998" s="34"/>
      <c r="E998" s="34"/>
      <c r="F998" s="34"/>
      <c r="G998" s="33"/>
      <c r="H998" s="35"/>
      <c r="I998" s="34"/>
      <c r="J998" s="34"/>
      <c r="K998" s="34"/>
      <c r="L998" s="33"/>
      <c r="M998" s="33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  <c r="AO998" s="34"/>
      <c r="AP998" s="34"/>
      <c r="AQ998" s="34"/>
      <c r="AR998" s="34"/>
      <c r="AS998" s="34"/>
    </row>
    <row r="999" spans="1:45" ht="14.4">
      <c r="A999" s="33"/>
      <c r="B999" s="33"/>
      <c r="C999" s="33"/>
      <c r="D999" s="34"/>
      <c r="E999" s="34"/>
      <c r="F999" s="34"/>
      <c r="G999" s="33"/>
      <c r="H999" s="35"/>
      <c r="I999" s="34"/>
      <c r="J999" s="34"/>
      <c r="K999" s="34"/>
      <c r="L999" s="33"/>
      <c r="M999" s="33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  <c r="AO999" s="34"/>
      <c r="AP999" s="34"/>
      <c r="AQ999" s="34"/>
      <c r="AR999" s="34"/>
      <c r="AS999" s="34"/>
    </row>
    <row r="1000" spans="1:45" ht="14.4">
      <c r="A1000" s="33"/>
      <c r="B1000" s="33"/>
      <c r="C1000" s="33"/>
      <c r="D1000" s="34"/>
      <c r="E1000" s="34"/>
      <c r="F1000" s="34"/>
      <c r="G1000" s="33"/>
      <c r="H1000" s="35"/>
      <c r="I1000" s="34"/>
      <c r="J1000" s="34"/>
      <c r="K1000" s="34"/>
      <c r="L1000" s="33"/>
      <c r="M1000" s="33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  <c r="AO1000" s="34"/>
      <c r="AP1000" s="34"/>
      <c r="AQ1000" s="34"/>
      <c r="AR1000" s="34"/>
      <c r="AS1000" s="34"/>
    </row>
    <row r="1001" spans="1:45" ht="14.4">
      <c r="A1001" s="33"/>
      <c r="B1001" s="33"/>
      <c r="C1001" s="33"/>
      <c r="D1001" s="34"/>
      <c r="E1001" s="34"/>
      <c r="F1001" s="34"/>
      <c r="G1001" s="33"/>
      <c r="H1001" s="35"/>
      <c r="I1001" s="34"/>
      <c r="J1001" s="34"/>
      <c r="K1001" s="34"/>
      <c r="L1001" s="33"/>
      <c r="M1001" s="33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  <c r="AO1001" s="34"/>
      <c r="AP1001" s="34"/>
      <c r="AQ1001" s="34"/>
      <c r="AR1001" s="34"/>
      <c r="AS1001" s="34"/>
    </row>
    <row r="1002" spans="1:45" ht="14.4">
      <c r="A1002" s="33"/>
      <c r="B1002" s="33"/>
      <c r="C1002" s="33"/>
      <c r="D1002" s="34"/>
      <c r="E1002" s="34"/>
      <c r="F1002" s="34"/>
      <c r="G1002" s="33"/>
      <c r="H1002" s="35"/>
      <c r="I1002" s="34"/>
      <c r="J1002" s="34"/>
      <c r="K1002" s="34"/>
      <c r="L1002" s="33"/>
      <c r="M1002" s="33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  <c r="AO1002" s="34"/>
      <c r="AP1002" s="34"/>
      <c r="AQ1002" s="34"/>
      <c r="AR1002" s="34"/>
      <c r="AS1002" s="34"/>
    </row>
    <row r="1003" spans="1:45" ht="14.4">
      <c r="A1003" s="33"/>
      <c r="B1003" s="33"/>
      <c r="C1003" s="33"/>
      <c r="D1003" s="34"/>
      <c r="E1003" s="34"/>
      <c r="F1003" s="34"/>
      <c r="G1003" s="33"/>
      <c r="H1003" s="35"/>
      <c r="I1003" s="34"/>
      <c r="J1003" s="34"/>
      <c r="K1003" s="34"/>
      <c r="L1003" s="33"/>
      <c r="M1003" s="33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  <c r="AO1003" s="34"/>
      <c r="AP1003" s="34"/>
      <c r="AQ1003" s="34"/>
      <c r="AR1003" s="34"/>
      <c r="AS1003" s="34"/>
    </row>
    <row r="1004" spans="1:45" ht="14.4">
      <c r="A1004" s="33"/>
      <c r="B1004" s="33"/>
      <c r="C1004" s="33"/>
      <c r="D1004" s="34"/>
      <c r="E1004" s="34"/>
      <c r="F1004" s="34"/>
      <c r="G1004" s="33"/>
      <c r="H1004" s="35"/>
      <c r="I1004" s="34"/>
      <c r="J1004" s="34"/>
      <c r="K1004" s="34"/>
      <c r="L1004" s="33"/>
      <c r="M1004" s="33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  <c r="AO1004" s="34"/>
      <c r="AP1004" s="34"/>
      <c r="AQ1004" s="34"/>
      <c r="AR1004" s="34"/>
      <c r="AS1004" s="34"/>
    </row>
    <row r="1005" spans="1:45" ht="14.4">
      <c r="A1005" s="33"/>
      <c r="B1005" s="33"/>
      <c r="C1005" s="33"/>
      <c r="D1005" s="34"/>
      <c r="E1005" s="34"/>
      <c r="F1005" s="34"/>
      <c r="G1005" s="33"/>
      <c r="H1005" s="35"/>
      <c r="I1005" s="34"/>
      <c r="J1005" s="34"/>
      <c r="K1005" s="34"/>
      <c r="L1005" s="33"/>
      <c r="M1005" s="33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  <c r="AO1005" s="34"/>
      <c r="AP1005" s="34"/>
      <c r="AQ1005" s="34"/>
      <c r="AR1005" s="34"/>
      <c r="AS1005" s="34"/>
    </row>
    <row r="1006" spans="1:45" ht="14.4">
      <c r="A1006" s="33"/>
      <c r="B1006" s="33"/>
      <c r="C1006" s="33"/>
      <c r="D1006" s="34"/>
      <c r="E1006" s="34"/>
      <c r="F1006" s="34"/>
      <c r="G1006" s="33"/>
      <c r="H1006" s="35"/>
      <c r="I1006" s="34"/>
      <c r="J1006" s="34"/>
      <c r="K1006" s="34"/>
      <c r="L1006" s="33"/>
      <c r="M1006" s="33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  <c r="AO1006" s="34"/>
      <c r="AP1006" s="34"/>
      <c r="AQ1006" s="34"/>
      <c r="AR1006" s="34"/>
      <c r="AS1006" s="34"/>
    </row>
    <row r="1007" spans="1:45" ht="14.4">
      <c r="A1007" s="33"/>
      <c r="B1007" s="33"/>
      <c r="C1007" s="33"/>
      <c r="D1007" s="34"/>
      <c r="E1007" s="34"/>
      <c r="F1007" s="34"/>
      <c r="G1007" s="33"/>
      <c r="H1007" s="35"/>
      <c r="I1007" s="34"/>
      <c r="J1007" s="34"/>
      <c r="K1007" s="34"/>
      <c r="L1007" s="33"/>
      <c r="M1007" s="33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  <c r="AO1007" s="34"/>
      <c r="AP1007" s="34"/>
      <c r="AQ1007" s="34"/>
      <c r="AR1007" s="34"/>
      <c r="AS1007" s="34"/>
    </row>
    <row r="1008" spans="1:45" ht="14.4">
      <c r="A1008" s="33"/>
      <c r="B1008" s="33"/>
      <c r="C1008" s="33"/>
      <c r="D1008" s="34"/>
      <c r="E1008" s="34"/>
      <c r="F1008" s="34"/>
      <c r="G1008" s="33"/>
      <c r="H1008" s="35"/>
      <c r="I1008" s="34"/>
      <c r="J1008" s="34"/>
      <c r="K1008" s="34"/>
      <c r="L1008" s="33"/>
      <c r="M1008" s="33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  <c r="AN1008" s="34"/>
      <c r="AO1008" s="34"/>
      <c r="AP1008" s="34"/>
      <c r="AQ1008" s="34"/>
      <c r="AR1008" s="34"/>
      <c r="AS1008" s="34"/>
    </row>
    <row r="1009" spans="1:45" ht="14.4">
      <c r="A1009" s="33"/>
      <c r="B1009" s="33"/>
      <c r="C1009" s="33"/>
      <c r="D1009" s="34"/>
      <c r="E1009" s="34"/>
      <c r="F1009" s="34"/>
      <c r="G1009" s="33"/>
      <c r="H1009" s="35"/>
      <c r="I1009" s="34"/>
      <c r="J1009" s="34"/>
      <c r="K1009" s="34"/>
      <c r="L1009" s="33"/>
      <c r="M1009" s="33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  <c r="AO1009" s="34"/>
      <c r="AP1009" s="34"/>
      <c r="AQ1009" s="34"/>
      <c r="AR1009" s="34"/>
      <c r="AS1009" s="34"/>
    </row>
    <row r="1010" spans="1:45" ht="14.4">
      <c r="A1010" s="33"/>
      <c r="B1010" s="33"/>
      <c r="C1010" s="33"/>
      <c r="D1010" s="34"/>
      <c r="E1010" s="34"/>
      <c r="F1010" s="34"/>
      <c r="G1010" s="33"/>
      <c r="H1010" s="35"/>
      <c r="I1010" s="34"/>
      <c r="J1010" s="34"/>
      <c r="K1010" s="34"/>
      <c r="L1010" s="33"/>
      <c r="M1010" s="33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  <c r="AO1010" s="34"/>
      <c r="AP1010" s="34"/>
      <c r="AQ1010" s="34"/>
      <c r="AR1010" s="34"/>
      <c r="AS1010" s="34"/>
    </row>
    <row r="1011" spans="1:45" ht="14.4">
      <c r="A1011" s="33"/>
      <c r="B1011" s="33"/>
      <c r="C1011" s="33"/>
      <c r="D1011" s="34"/>
      <c r="E1011" s="34"/>
      <c r="F1011" s="34"/>
      <c r="G1011" s="33"/>
      <c r="H1011" s="35"/>
      <c r="I1011" s="34"/>
      <c r="J1011" s="34"/>
      <c r="K1011" s="34"/>
      <c r="L1011" s="33"/>
      <c r="M1011" s="33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  <c r="AQ1011" s="34"/>
      <c r="AR1011" s="34"/>
      <c r="AS1011" s="34"/>
    </row>
    <row r="1012" spans="1:45" ht="14.4">
      <c r="A1012" s="33"/>
      <c r="B1012" s="33"/>
      <c r="C1012" s="33"/>
      <c r="D1012" s="34"/>
      <c r="E1012" s="34"/>
      <c r="F1012" s="34"/>
      <c r="G1012" s="33"/>
      <c r="H1012" s="35"/>
      <c r="I1012" s="34"/>
      <c r="J1012" s="34"/>
      <c r="K1012" s="34"/>
      <c r="L1012" s="33"/>
      <c r="M1012" s="33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  <c r="AO1012" s="34"/>
      <c r="AP1012" s="34"/>
      <c r="AQ1012" s="34"/>
      <c r="AR1012" s="34"/>
      <c r="AS1012" s="34"/>
    </row>
    <row r="1013" spans="1:45" ht="14.4">
      <c r="A1013" s="33"/>
      <c r="B1013" s="33"/>
      <c r="C1013" s="33"/>
      <c r="D1013" s="34"/>
      <c r="E1013" s="34"/>
      <c r="F1013" s="34"/>
      <c r="G1013" s="33"/>
      <c r="H1013" s="35"/>
      <c r="I1013" s="34"/>
      <c r="J1013" s="34"/>
      <c r="K1013" s="34"/>
      <c r="L1013" s="33"/>
      <c r="M1013" s="33"/>
      <c r="N1013" s="34"/>
      <c r="O1013" s="34"/>
      <c r="P1013" s="34"/>
      <c r="Q1013" s="3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  <c r="AO1013" s="34"/>
      <c r="AP1013" s="34"/>
      <c r="AQ1013" s="34"/>
      <c r="AR1013" s="34"/>
      <c r="AS1013" s="34"/>
    </row>
    <row r="1014" spans="1:45" ht="14.4">
      <c r="A1014" s="33"/>
      <c r="B1014" s="33"/>
      <c r="C1014" s="33"/>
      <c r="D1014" s="34"/>
      <c r="E1014" s="34"/>
      <c r="F1014" s="34"/>
      <c r="G1014" s="33"/>
      <c r="H1014" s="35"/>
      <c r="I1014" s="34"/>
      <c r="J1014" s="34"/>
      <c r="K1014" s="34"/>
      <c r="L1014" s="33"/>
      <c r="M1014" s="33"/>
      <c r="N1014" s="34"/>
      <c r="O1014" s="34"/>
      <c r="P1014" s="34"/>
      <c r="Q1014" s="3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  <c r="AN1014" s="34"/>
      <c r="AO1014" s="34"/>
      <c r="AP1014" s="34"/>
      <c r="AQ1014" s="34"/>
      <c r="AR1014" s="34"/>
      <c r="AS1014" s="34"/>
    </row>
    <row r="1015" spans="1:45" ht="14.4">
      <c r="A1015" s="33"/>
      <c r="B1015" s="33"/>
      <c r="C1015" s="33"/>
      <c r="D1015" s="34"/>
      <c r="E1015" s="34"/>
      <c r="F1015" s="34"/>
      <c r="G1015" s="33"/>
      <c r="H1015" s="35"/>
      <c r="I1015" s="34"/>
      <c r="J1015" s="34"/>
      <c r="K1015" s="34"/>
      <c r="L1015" s="33"/>
      <c r="M1015" s="33"/>
      <c r="N1015" s="34"/>
      <c r="O1015" s="34"/>
      <c r="P1015" s="34"/>
      <c r="Q1015" s="3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  <c r="AN1015" s="34"/>
      <c r="AO1015" s="34"/>
      <c r="AP1015" s="34"/>
      <c r="AQ1015" s="34"/>
      <c r="AR1015" s="34"/>
      <c r="AS1015" s="34"/>
    </row>
    <row r="1016" spans="1:45" ht="14.4">
      <c r="A1016" s="33"/>
      <c r="B1016" s="33"/>
      <c r="C1016" s="33"/>
      <c r="D1016" s="34"/>
      <c r="E1016" s="34"/>
      <c r="F1016" s="34"/>
      <c r="G1016" s="33"/>
      <c r="H1016" s="35"/>
      <c r="I1016" s="34"/>
      <c r="J1016" s="34"/>
      <c r="K1016" s="34"/>
      <c r="L1016" s="33"/>
      <c r="M1016" s="33"/>
      <c r="N1016" s="34"/>
      <c r="O1016" s="34"/>
      <c r="P1016" s="34"/>
      <c r="Q1016" s="3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/>
      <c r="AR1016" s="34"/>
      <c r="AS1016" s="34"/>
    </row>
    <row r="1017" spans="1:45" ht="14.4">
      <c r="A1017" s="33"/>
      <c r="B1017" s="33"/>
      <c r="C1017" s="33"/>
      <c r="D1017" s="34"/>
      <c r="E1017" s="34"/>
      <c r="F1017" s="34"/>
      <c r="G1017" s="33"/>
      <c r="H1017" s="35"/>
      <c r="I1017" s="34"/>
      <c r="J1017" s="34"/>
      <c r="K1017" s="34"/>
      <c r="L1017" s="33"/>
      <c r="M1017" s="33"/>
      <c r="N1017" s="34"/>
      <c r="O1017" s="34"/>
      <c r="P1017" s="34"/>
      <c r="Q1017" s="3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  <c r="AN1017" s="34"/>
      <c r="AO1017" s="34"/>
      <c r="AP1017" s="34"/>
      <c r="AQ1017" s="34"/>
      <c r="AR1017" s="34"/>
      <c r="AS1017" s="34"/>
    </row>
    <row r="1018" spans="1:45" ht="14.4">
      <c r="A1018" s="33"/>
      <c r="B1018" s="33"/>
      <c r="C1018" s="33"/>
      <c r="D1018" s="34"/>
      <c r="E1018" s="34"/>
      <c r="F1018" s="34"/>
      <c r="G1018" s="33"/>
      <c r="H1018" s="35"/>
      <c r="I1018" s="34"/>
      <c r="J1018" s="34"/>
      <c r="K1018" s="34"/>
      <c r="L1018" s="33"/>
      <c r="M1018" s="33"/>
      <c r="N1018" s="34"/>
      <c r="O1018" s="34"/>
      <c r="P1018" s="34"/>
      <c r="Q1018" s="3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  <c r="AN1018" s="34"/>
      <c r="AO1018" s="34"/>
      <c r="AP1018" s="34"/>
      <c r="AQ1018" s="34"/>
      <c r="AR1018" s="34"/>
      <c r="AS1018" s="34"/>
    </row>
    <row r="1019" spans="1:45" ht="14.4">
      <c r="A1019" s="33"/>
      <c r="B1019" s="33"/>
      <c r="C1019" s="33"/>
      <c r="D1019" s="34"/>
      <c r="E1019" s="34"/>
      <c r="F1019" s="34"/>
      <c r="G1019" s="33"/>
      <c r="H1019" s="35"/>
      <c r="I1019" s="34"/>
      <c r="J1019" s="34"/>
      <c r="K1019" s="34"/>
      <c r="L1019" s="33"/>
      <c r="M1019" s="33"/>
      <c r="N1019" s="34"/>
      <c r="O1019" s="34"/>
      <c r="P1019" s="34"/>
      <c r="Q1019" s="3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34"/>
      <c r="AO1019" s="34"/>
      <c r="AP1019" s="34"/>
      <c r="AQ1019" s="34"/>
      <c r="AR1019" s="34"/>
      <c r="AS1019" s="34"/>
    </row>
    <row r="1020" spans="1:45" ht="14.4">
      <c r="A1020" s="33"/>
      <c r="B1020" s="33"/>
      <c r="C1020" s="33"/>
      <c r="D1020" s="34"/>
      <c r="E1020" s="34"/>
      <c r="F1020" s="34"/>
      <c r="G1020" s="33"/>
      <c r="H1020" s="35"/>
      <c r="I1020" s="34"/>
      <c r="J1020" s="34"/>
      <c r="K1020" s="34"/>
      <c r="L1020" s="33"/>
      <c r="M1020" s="33"/>
      <c r="N1020" s="34"/>
      <c r="O1020" s="34"/>
      <c r="P1020" s="34"/>
      <c r="Q1020" s="34"/>
      <c r="R1020" s="34"/>
      <c r="S1020" s="34"/>
      <c r="T1020" s="34"/>
      <c r="U1020" s="34"/>
      <c r="V1020" s="34"/>
      <c r="W1020" s="34"/>
      <c r="X1020" s="34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  <c r="AN1020" s="34"/>
      <c r="AO1020" s="34"/>
      <c r="AP1020" s="34"/>
      <c r="AQ1020" s="34"/>
      <c r="AR1020" s="34"/>
      <c r="AS1020" s="34"/>
    </row>
    <row r="1021" spans="1:45" ht="14.4">
      <c r="A1021" s="33"/>
      <c r="B1021" s="33"/>
      <c r="C1021" s="33"/>
      <c r="D1021" s="34"/>
      <c r="E1021" s="34"/>
      <c r="F1021" s="34"/>
      <c r="G1021" s="33"/>
      <c r="H1021" s="35"/>
      <c r="I1021" s="34"/>
      <c r="J1021" s="34"/>
      <c r="K1021" s="34"/>
      <c r="L1021" s="33"/>
      <c r="M1021" s="33"/>
      <c r="N1021" s="34"/>
      <c r="O1021" s="34"/>
      <c r="P1021" s="34"/>
      <c r="Q1021" s="3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  <c r="AN1021" s="34"/>
      <c r="AO1021" s="34"/>
      <c r="AP1021" s="34"/>
      <c r="AQ1021" s="34"/>
      <c r="AR1021" s="34"/>
      <c r="AS1021" s="34"/>
    </row>
    <row r="1022" spans="1:45" ht="14.4">
      <c r="A1022" s="33"/>
      <c r="B1022" s="33"/>
      <c r="C1022" s="33"/>
      <c r="D1022" s="34"/>
      <c r="E1022" s="34"/>
      <c r="F1022" s="34"/>
      <c r="G1022" s="33"/>
      <c r="H1022" s="35"/>
      <c r="I1022" s="34"/>
      <c r="J1022" s="34"/>
      <c r="K1022" s="34"/>
      <c r="L1022" s="33"/>
      <c r="M1022" s="33"/>
      <c r="N1022" s="34"/>
      <c r="O1022" s="34"/>
      <c r="P1022" s="34"/>
      <c r="Q1022" s="3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  <c r="AN1022" s="34"/>
      <c r="AO1022" s="34"/>
      <c r="AP1022" s="34"/>
      <c r="AQ1022" s="34"/>
      <c r="AR1022" s="34"/>
      <c r="AS1022" s="34"/>
    </row>
    <row r="1023" spans="1:45" ht="14.4">
      <c r="A1023" s="33"/>
      <c r="B1023" s="33"/>
      <c r="C1023" s="33"/>
      <c r="D1023" s="34"/>
      <c r="E1023" s="34"/>
      <c r="F1023" s="34"/>
      <c r="G1023" s="33"/>
      <c r="H1023" s="35"/>
      <c r="I1023" s="34"/>
      <c r="J1023" s="34"/>
      <c r="K1023" s="34"/>
      <c r="L1023" s="33"/>
      <c r="M1023" s="33"/>
      <c r="N1023" s="34"/>
      <c r="O1023" s="34"/>
      <c r="P1023" s="34"/>
      <c r="Q1023" s="3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  <c r="AN1023" s="34"/>
      <c r="AO1023" s="34"/>
      <c r="AP1023" s="34"/>
      <c r="AQ1023" s="34"/>
      <c r="AR1023" s="34"/>
      <c r="AS1023" s="34"/>
    </row>
    <row r="1024" spans="1:45" ht="14.4">
      <c r="A1024" s="33"/>
      <c r="B1024" s="33"/>
      <c r="C1024" s="33"/>
      <c r="D1024" s="34"/>
      <c r="E1024" s="34"/>
      <c r="F1024" s="34"/>
      <c r="G1024" s="33"/>
      <c r="H1024" s="35"/>
      <c r="I1024" s="34"/>
      <c r="J1024" s="34"/>
      <c r="K1024" s="34"/>
      <c r="L1024" s="33"/>
      <c r="M1024" s="33"/>
      <c r="N1024" s="34"/>
      <c r="O1024" s="34"/>
      <c r="P1024" s="34"/>
      <c r="Q1024" s="34"/>
      <c r="R1024" s="34"/>
      <c r="S1024" s="34"/>
      <c r="T1024" s="34"/>
      <c r="U1024" s="34"/>
      <c r="V1024" s="34"/>
      <c r="W1024" s="34"/>
      <c r="X1024" s="34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  <c r="AN1024" s="34"/>
      <c r="AO1024" s="34"/>
      <c r="AP1024" s="34"/>
      <c r="AQ1024" s="34"/>
      <c r="AR1024" s="34"/>
      <c r="AS1024" s="34"/>
    </row>
    <row r="1025" spans="1:45" ht="14.4">
      <c r="A1025" s="33"/>
      <c r="B1025" s="33"/>
      <c r="C1025" s="33"/>
      <c r="D1025" s="34"/>
      <c r="E1025" s="34"/>
      <c r="F1025" s="34"/>
      <c r="G1025" s="33"/>
      <c r="H1025" s="35"/>
      <c r="I1025" s="34"/>
      <c r="J1025" s="34"/>
      <c r="K1025" s="34"/>
      <c r="L1025" s="33"/>
      <c r="M1025" s="33"/>
      <c r="N1025" s="34"/>
      <c r="O1025" s="34"/>
      <c r="P1025" s="34"/>
      <c r="Q1025" s="34"/>
      <c r="R1025" s="34"/>
      <c r="S1025" s="34"/>
      <c r="T1025" s="34"/>
      <c r="U1025" s="34"/>
      <c r="V1025" s="34"/>
      <c r="W1025" s="34"/>
      <c r="X1025" s="34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  <c r="AN1025" s="34"/>
      <c r="AO1025" s="34"/>
      <c r="AP1025" s="34"/>
      <c r="AQ1025" s="34"/>
      <c r="AR1025" s="34"/>
      <c r="AS1025" s="34"/>
    </row>
    <row r="1026" spans="1:45" ht="14.4">
      <c r="A1026" s="33"/>
      <c r="B1026" s="33"/>
      <c r="C1026" s="33"/>
      <c r="D1026" s="34"/>
      <c r="E1026" s="34"/>
      <c r="F1026" s="34"/>
      <c r="G1026" s="33"/>
      <c r="H1026" s="35"/>
      <c r="I1026" s="34"/>
      <c r="J1026" s="34"/>
      <c r="K1026" s="34"/>
      <c r="L1026" s="33"/>
      <c r="M1026" s="33"/>
      <c r="N1026" s="34"/>
      <c r="O1026" s="34"/>
      <c r="P1026" s="34"/>
      <c r="Q1026" s="34"/>
      <c r="R1026" s="34"/>
      <c r="S1026" s="34"/>
      <c r="T1026" s="34"/>
      <c r="U1026" s="34"/>
      <c r="V1026" s="34"/>
      <c r="W1026" s="34"/>
      <c r="X1026" s="34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  <c r="AN1026" s="34"/>
      <c r="AO1026" s="34"/>
      <c r="AP1026" s="34"/>
      <c r="AQ1026" s="34"/>
      <c r="AR1026" s="34"/>
      <c r="AS1026" s="34"/>
    </row>
    <row r="1027" spans="1:45" ht="14.4">
      <c r="A1027" s="33"/>
      <c r="B1027" s="33"/>
      <c r="C1027" s="33"/>
      <c r="D1027" s="34"/>
      <c r="E1027" s="34"/>
      <c r="F1027" s="34"/>
      <c r="G1027" s="33"/>
      <c r="H1027" s="35"/>
      <c r="I1027" s="34"/>
      <c r="J1027" s="34"/>
      <c r="K1027" s="34"/>
      <c r="L1027" s="33"/>
      <c r="M1027" s="33"/>
      <c r="N1027" s="34"/>
      <c r="O1027" s="34"/>
      <c r="P1027" s="34"/>
      <c r="Q1027" s="34"/>
      <c r="R1027" s="34"/>
      <c r="S1027" s="34"/>
      <c r="T1027" s="34"/>
      <c r="U1027" s="34"/>
      <c r="V1027" s="34"/>
      <c r="W1027" s="34"/>
      <c r="X1027" s="34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  <c r="AN1027" s="34"/>
      <c r="AO1027" s="34"/>
      <c r="AP1027" s="34"/>
      <c r="AQ1027" s="34"/>
      <c r="AR1027" s="34"/>
      <c r="AS1027" s="34"/>
    </row>
    <row r="1028" spans="1:45" ht="14.4">
      <c r="A1028" s="33"/>
      <c r="B1028" s="33"/>
      <c r="C1028" s="33"/>
      <c r="D1028" s="34"/>
      <c r="E1028" s="34"/>
      <c r="F1028" s="34"/>
      <c r="G1028" s="33"/>
      <c r="H1028" s="35"/>
      <c r="I1028" s="34"/>
      <c r="J1028" s="34"/>
      <c r="K1028" s="34"/>
      <c r="L1028" s="33"/>
      <c r="M1028" s="33"/>
      <c r="N1028" s="34"/>
      <c r="O1028" s="34"/>
      <c r="P1028" s="34"/>
      <c r="Q1028" s="34"/>
      <c r="R1028" s="34"/>
      <c r="S1028" s="34"/>
      <c r="T1028" s="34"/>
      <c r="U1028" s="34"/>
      <c r="V1028" s="34"/>
      <c r="W1028" s="34"/>
      <c r="X1028" s="34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  <c r="AN1028" s="34"/>
      <c r="AO1028" s="34"/>
      <c r="AP1028" s="34"/>
      <c r="AQ1028" s="34"/>
      <c r="AR1028" s="34"/>
      <c r="AS1028" s="34"/>
    </row>
    <row r="1029" spans="1:45" ht="14.4">
      <c r="A1029" s="33"/>
      <c r="B1029" s="33"/>
      <c r="C1029" s="33"/>
      <c r="D1029" s="34"/>
      <c r="E1029" s="34"/>
      <c r="F1029" s="34"/>
      <c r="G1029" s="33"/>
      <c r="H1029" s="35"/>
      <c r="I1029" s="34"/>
      <c r="J1029" s="34"/>
      <c r="K1029" s="34"/>
      <c r="L1029" s="33"/>
      <c r="M1029" s="33"/>
      <c r="N1029" s="34"/>
      <c r="O1029" s="34"/>
      <c r="P1029" s="34"/>
      <c r="Q1029" s="34"/>
      <c r="R1029" s="34"/>
      <c r="S1029" s="34"/>
      <c r="T1029" s="34"/>
      <c r="U1029" s="34"/>
      <c r="V1029" s="34"/>
      <c r="W1029" s="34"/>
      <c r="X1029" s="34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  <c r="AN1029" s="34"/>
      <c r="AO1029" s="34"/>
      <c r="AP1029" s="34"/>
      <c r="AQ1029" s="34"/>
      <c r="AR1029" s="34"/>
      <c r="AS1029" s="34"/>
    </row>
    <row r="1030" spans="1:45" ht="14.4">
      <c r="A1030" s="33"/>
      <c r="B1030" s="33"/>
      <c r="C1030" s="33"/>
      <c r="D1030" s="34"/>
      <c r="E1030" s="34"/>
      <c r="F1030" s="34"/>
      <c r="G1030" s="33"/>
      <c r="H1030" s="35"/>
      <c r="I1030" s="34"/>
      <c r="J1030" s="34"/>
      <c r="K1030" s="34"/>
      <c r="L1030" s="33"/>
      <c r="M1030" s="33"/>
      <c r="N1030" s="34"/>
      <c r="O1030" s="34"/>
      <c r="P1030" s="34"/>
      <c r="Q1030" s="34"/>
      <c r="R1030" s="34"/>
      <c r="S1030" s="34"/>
      <c r="T1030" s="34"/>
      <c r="U1030" s="34"/>
      <c r="V1030" s="34"/>
      <c r="W1030" s="34"/>
      <c r="X1030" s="34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  <c r="AN1030" s="34"/>
      <c r="AO1030" s="34"/>
      <c r="AP1030" s="34"/>
      <c r="AQ1030" s="34"/>
      <c r="AR1030" s="34"/>
      <c r="AS1030" s="34"/>
    </row>
    <row r="1031" spans="1:45" ht="14.4">
      <c r="A1031" s="33"/>
      <c r="B1031" s="33"/>
      <c r="C1031" s="33"/>
      <c r="D1031" s="34"/>
      <c r="E1031" s="34"/>
      <c r="F1031" s="34"/>
      <c r="G1031" s="33"/>
      <c r="H1031" s="35"/>
      <c r="I1031" s="34"/>
      <c r="J1031" s="34"/>
      <c r="K1031" s="34"/>
      <c r="L1031" s="33"/>
      <c r="M1031" s="33"/>
      <c r="N1031" s="34"/>
      <c r="O1031" s="34"/>
      <c r="P1031" s="34"/>
      <c r="Q1031" s="34"/>
      <c r="R1031" s="34"/>
      <c r="S1031" s="34"/>
      <c r="T1031" s="34"/>
      <c r="U1031" s="34"/>
      <c r="V1031" s="34"/>
      <c r="W1031" s="34"/>
      <c r="X1031" s="34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  <c r="AN1031" s="34"/>
      <c r="AO1031" s="34"/>
      <c r="AP1031" s="34"/>
      <c r="AQ1031" s="34"/>
      <c r="AR1031" s="34"/>
      <c r="AS1031" s="34"/>
    </row>
    <row r="1032" spans="1:45" ht="14.4">
      <c r="A1032" s="33"/>
      <c r="B1032" s="33"/>
      <c r="C1032" s="33"/>
      <c r="D1032" s="34"/>
      <c r="E1032" s="34"/>
      <c r="F1032" s="34"/>
      <c r="G1032" s="33"/>
      <c r="H1032" s="35"/>
      <c r="I1032" s="34"/>
      <c r="J1032" s="34"/>
      <c r="K1032" s="34"/>
      <c r="L1032" s="33"/>
      <c r="M1032" s="33"/>
      <c r="N1032" s="34"/>
      <c r="O1032" s="34"/>
      <c r="P1032" s="34"/>
      <c r="Q1032" s="34"/>
      <c r="R1032" s="34"/>
      <c r="S1032" s="34"/>
      <c r="T1032" s="34"/>
      <c r="U1032" s="34"/>
      <c r="V1032" s="34"/>
      <c r="W1032" s="34"/>
      <c r="X1032" s="34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  <c r="AN1032" s="34"/>
      <c r="AO1032" s="34"/>
      <c r="AP1032" s="34"/>
      <c r="AQ1032" s="34"/>
      <c r="AR1032" s="34"/>
      <c r="AS1032" s="34"/>
    </row>
    <row r="1033" spans="1:45" ht="14.4">
      <c r="A1033" s="33"/>
      <c r="B1033" s="33"/>
      <c r="C1033" s="33"/>
      <c r="D1033" s="34"/>
      <c r="E1033" s="34"/>
      <c r="F1033" s="34"/>
      <c r="G1033" s="33"/>
      <c r="H1033" s="35"/>
      <c r="I1033" s="34"/>
      <c r="J1033" s="34"/>
      <c r="K1033" s="34"/>
      <c r="L1033" s="33"/>
      <c r="M1033" s="33"/>
      <c r="N1033" s="34"/>
      <c r="O1033" s="34"/>
      <c r="P1033" s="34"/>
      <c r="Q1033" s="34"/>
      <c r="R1033" s="34"/>
      <c r="S1033" s="34"/>
      <c r="T1033" s="34"/>
      <c r="U1033" s="34"/>
      <c r="V1033" s="34"/>
      <c r="W1033" s="34"/>
      <c r="X1033" s="34"/>
      <c r="Y1033" s="34"/>
      <c r="Z1033" s="34"/>
      <c r="AA1033" s="34"/>
      <c r="AB1033" s="34"/>
      <c r="AC1033" s="34"/>
      <c r="AD1033" s="34"/>
      <c r="AE1033" s="34"/>
      <c r="AF1033" s="34"/>
      <c r="AG1033" s="34"/>
      <c r="AH1033" s="34"/>
      <c r="AI1033" s="34"/>
      <c r="AJ1033" s="34"/>
      <c r="AK1033" s="34"/>
      <c r="AL1033" s="34"/>
      <c r="AM1033" s="34"/>
      <c r="AN1033" s="34"/>
      <c r="AO1033" s="34"/>
      <c r="AP1033" s="34"/>
      <c r="AQ1033" s="34"/>
      <c r="AR1033" s="34"/>
      <c r="AS1033" s="34"/>
    </row>
    <row r="1034" spans="1:45" ht="14.4">
      <c r="A1034" s="33"/>
      <c r="B1034" s="33"/>
      <c r="C1034" s="33"/>
      <c r="D1034" s="34"/>
      <c r="E1034" s="34"/>
      <c r="F1034" s="34"/>
      <c r="G1034" s="33"/>
      <c r="H1034" s="35"/>
      <c r="I1034" s="34"/>
      <c r="J1034" s="34"/>
      <c r="K1034" s="34"/>
      <c r="L1034" s="33"/>
      <c r="M1034" s="33"/>
      <c r="N1034" s="34"/>
      <c r="O1034" s="34"/>
      <c r="P1034" s="34"/>
      <c r="Q1034" s="34"/>
      <c r="R1034" s="34"/>
      <c r="S1034" s="34"/>
      <c r="T1034" s="34"/>
      <c r="U1034" s="34"/>
      <c r="V1034" s="34"/>
      <c r="W1034" s="34"/>
      <c r="X1034" s="34"/>
      <c r="Y1034" s="34"/>
      <c r="Z1034" s="34"/>
      <c r="AA1034" s="34"/>
      <c r="AB1034" s="34"/>
      <c r="AC1034" s="34"/>
      <c r="AD1034" s="34"/>
      <c r="AE1034" s="34"/>
      <c r="AF1034" s="34"/>
      <c r="AG1034" s="34"/>
      <c r="AH1034" s="34"/>
      <c r="AI1034" s="34"/>
      <c r="AJ1034" s="34"/>
      <c r="AK1034" s="34"/>
      <c r="AL1034" s="34"/>
      <c r="AM1034" s="34"/>
      <c r="AN1034" s="34"/>
      <c r="AO1034" s="34"/>
      <c r="AP1034" s="34"/>
      <c r="AQ1034" s="34"/>
      <c r="AR1034" s="34"/>
      <c r="AS1034" s="34"/>
    </row>
    <row r="1035" spans="1:45" ht="14.4">
      <c r="A1035" s="33"/>
      <c r="B1035" s="33"/>
      <c r="C1035" s="33"/>
      <c r="D1035" s="34"/>
      <c r="E1035" s="34"/>
      <c r="F1035" s="34"/>
      <c r="G1035" s="33"/>
      <c r="H1035" s="35"/>
      <c r="I1035" s="34"/>
      <c r="J1035" s="34"/>
      <c r="K1035" s="34"/>
      <c r="L1035" s="33"/>
      <c r="M1035" s="33"/>
      <c r="N1035" s="34"/>
      <c r="O1035" s="34"/>
      <c r="P1035" s="34"/>
      <c r="Q1035" s="34"/>
      <c r="R1035" s="34"/>
      <c r="S1035" s="34"/>
      <c r="T1035" s="34"/>
      <c r="U1035" s="34"/>
      <c r="V1035" s="34"/>
      <c r="W1035" s="34"/>
      <c r="X1035" s="34"/>
      <c r="Y1035" s="34"/>
      <c r="Z1035" s="34"/>
      <c r="AA1035" s="34"/>
      <c r="AB1035" s="34"/>
      <c r="AC1035" s="34"/>
      <c r="AD1035" s="34"/>
      <c r="AE1035" s="34"/>
      <c r="AF1035" s="34"/>
      <c r="AG1035" s="34"/>
      <c r="AH1035" s="34"/>
      <c r="AI1035" s="34"/>
      <c r="AJ1035" s="34"/>
      <c r="AK1035" s="34"/>
      <c r="AL1035" s="34"/>
      <c r="AM1035" s="34"/>
      <c r="AN1035" s="34"/>
      <c r="AO1035" s="34"/>
      <c r="AP1035" s="34"/>
      <c r="AQ1035" s="34"/>
      <c r="AR1035" s="34"/>
      <c r="AS1035" s="34"/>
    </row>
    <row r="1036" spans="1:45" ht="14.4">
      <c r="A1036" s="33"/>
      <c r="B1036" s="33"/>
      <c r="C1036" s="33"/>
      <c r="D1036" s="34"/>
      <c r="E1036" s="34"/>
      <c r="F1036" s="34"/>
      <c r="G1036" s="33"/>
      <c r="H1036" s="35"/>
      <c r="I1036" s="34"/>
      <c r="J1036" s="34"/>
      <c r="K1036" s="34"/>
      <c r="L1036" s="33"/>
      <c r="M1036" s="33"/>
      <c r="N1036" s="34"/>
      <c r="O1036" s="34"/>
      <c r="P1036" s="34"/>
      <c r="Q1036" s="34"/>
      <c r="R1036" s="34"/>
      <c r="S1036" s="34"/>
      <c r="T1036" s="34"/>
      <c r="U1036" s="34"/>
      <c r="V1036" s="34"/>
      <c r="W1036" s="34"/>
      <c r="X1036" s="34"/>
      <c r="Y1036" s="34"/>
      <c r="Z1036" s="34"/>
      <c r="AA1036" s="34"/>
      <c r="AB1036" s="34"/>
      <c r="AC1036" s="34"/>
      <c r="AD1036" s="34"/>
      <c r="AE1036" s="34"/>
      <c r="AF1036" s="34"/>
      <c r="AG1036" s="34"/>
      <c r="AH1036" s="34"/>
      <c r="AI1036" s="34"/>
      <c r="AJ1036" s="34"/>
      <c r="AK1036" s="34"/>
      <c r="AL1036" s="34"/>
      <c r="AM1036" s="34"/>
      <c r="AN1036" s="34"/>
      <c r="AO1036" s="34"/>
      <c r="AP1036" s="34"/>
      <c r="AQ1036" s="34"/>
      <c r="AR1036" s="34"/>
      <c r="AS1036" s="34"/>
    </row>
    <row r="1037" spans="1:45" ht="14.4">
      <c r="A1037" s="33"/>
      <c r="B1037" s="33"/>
      <c r="C1037" s="33"/>
      <c r="D1037" s="34"/>
      <c r="E1037" s="34"/>
      <c r="F1037" s="34"/>
      <c r="G1037" s="33"/>
      <c r="H1037" s="35"/>
      <c r="I1037" s="34"/>
      <c r="J1037" s="34"/>
      <c r="K1037" s="34"/>
      <c r="L1037" s="33"/>
      <c r="M1037" s="33"/>
      <c r="N1037" s="34"/>
      <c r="O1037" s="34"/>
      <c r="P1037" s="34"/>
      <c r="Q1037" s="34"/>
      <c r="R1037" s="34"/>
      <c r="S1037" s="34"/>
      <c r="T1037" s="34"/>
      <c r="U1037" s="34"/>
      <c r="V1037" s="34"/>
      <c r="W1037" s="34"/>
      <c r="X1037" s="34"/>
      <c r="Y1037" s="34"/>
      <c r="Z1037" s="34"/>
      <c r="AA1037" s="34"/>
      <c r="AB1037" s="34"/>
      <c r="AC1037" s="34"/>
      <c r="AD1037" s="34"/>
      <c r="AE1037" s="34"/>
      <c r="AF1037" s="34"/>
      <c r="AG1037" s="34"/>
      <c r="AH1037" s="34"/>
      <c r="AI1037" s="34"/>
      <c r="AJ1037" s="34"/>
      <c r="AK1037" s="34"/>
      <c r="AL1037" s="34"/>
      <c r="AM1037" s="34"/>
      <c r="AN1037" s="34"/>
      <c r="AO1037" s="34"/>
      <c r="AP1037" s="34"/>
      <c r="AQ1037" s="34"/>
      <c r="AR1037" s="34"/>
      <c r="AS1037" s="34"/>
    </row>
    <row r="1038" spans="1:45" ht="14.4">
      <c r="A1038" s="33"/>
      <c r="B1038" s="33"/>
      <c r="C1038" s="33"/>
      <c r="D1038" s="34"/>
      <c r="E1038" s="34"/>
      <c r="F1038" s="34"/>
      <c r="G1038" s="33"/>
      <c r="H1038" s="35"/>
      <c r="I1038" s="34"/>
      <c r="J1038" s="34"/>
      <c r="K1038" s="34"/>
      <c r="L1038" s="33"/>
      <c r="M1038" s="33"/>
      <c r="N1038" s="34"/>
      <c r="O1038" s="34"/>
      <c r="P1038" s="34"/>
      <c r="Q1038" s="34"/>
      <c r="R1038" s="34"/>
      <c r="S1038" s="34"/>
      <c r="T1038" s="34"/>
      <c r="U1038" s="34"/>
      <c r="V1038" s="34"/>
      <c r="W1038" s="34"/>
      <c r="X1038" s="34"/>
      <c r="Y1038" s="34"/>
      <c r="Z1038" s="34"/>
      <c r="AA1038" s="34"/>
      <c r="AB1038" s="34"/>
      <c r="AC1038" s="34"/>
      <c r="AD1038" s="34"/>
      <c r="AE1038" s="34"/>
      <c r="AF1038" s="34"/>
      <c r="AG1038" s="34"/>
      <c r="AH1038" s="34"/>
      <c r="AI1038" s="34"/>
      <c r="AJ1038" s="34"/>
      <c r="AK1038" s="34"/>
      <c r="AL1038" s="34"/>
      <c r="AM1038" s="34"/>
      <c r="AN1038" s="34"/>
      <c r="AO1038" s="34"/>
      <c r="AP1038" s="34"/>
      <c r="AQ1038" s="34"/>
      <c r="AR1038" s="34"/>
      <c r="AS1038" s="34"/>
    </row>
    <row r="1039" spans="1:45" ht="14.4">
      <c r="A1039" s="33"/>
      <c r="B1039" s="33"/>
      <c r="C1039" s="33"/>
      <c r="D1039" s="34"/>
      <c r="E1039" s="34"/>
      <c r="F1039" s="34"/>
      <c r="G1039" s="33"/>
      <c r="H1039" s="35"/>
      <c r="I1039" s="34"/>
      <c r="J1039" s="34"/>
      <c r="K1039" s="34"/>
      <c r="L1039" s="33"/>
      <c r="M1039" s="33"/>
      <c r="N1039" s="34"/>
      <c r="O1039" s="34"/>
      <c r="P1039" s="34"/>
      <c r="Q1039" s="34"/>
      <c r="R1039" s="34"/>
      <c r="S1039" s="34"/>
      <c r="T1039" s="34"/>
      <c r="U1039" s="34"/>
      <c r="V1039" s="34"/>
      <c r="W1039" s="34"/>
      <c r="X1039" s="34"/>
      <c r="Y1039" s="34"/>
      <c r="Z1039" s="34"/>
      <c r="AA1039" s="34"/>
      <c r="AB1039" s="34"/>
      <c r="AC1039" s="34"/>
      <c r="AD1039" s="34"/>
      <c r="AE1039" s="34"/>
      <c r="AF1039" s="34"/>
      <c r="AG1039" s="34"/>
      <c r="AH1039" s="34"/>
      <c r="AI1039" s="34"/>
      <c r="AJ1039" s="34"/>
      <c r="AK1039" s="34"/>
      <c r="AL1039" s="34"/>
      <c r="AM1039" s="34"/>
      <c r="AN1039" s="34"/>
      <c r="AO1039" s="34"/>
      <c r="AP1039" s="34"/>
      <c r="AQ1039" s="34"/>
      <c r="AR1039" s="34"/>
      <c r="AS1039" s="34"/>
    </row>
    <row r="1040" spans="1:45" ht="14.4">
      <c r="A1040" s="33"/>
      <c r="B1040" s="33"/>
      <c r="C1040" s="33"/>
      <c r="D1040" s="34"/>
      <c r="E1040" s="34"/>
      <c r="F1040" s="34"/>
      <c r="G1040" s="33"/>
      <c r="H1040" s="35"/>
      <c r="I1040" s="34"/>
      <c r="J1040" s="34"/>
      <c r="K1040" s="34"/>
      <c r="L1040" s="33"/>
      <c r="M1040" s="33"/>
      <c r="N1040" s="34"/>
      <c r="O1040" s="34"/>
      <c r="P1040" s="34"/>
      <c r="Q1040" s="34"/>
      <c r="R1040" s="34"/>
      <c r="S1040" s="34"/>
      <c r="T1040" s="34"/>
      <c r="U1040" s="34"/>
      <c r="V1040" s="34"/>
      <c r="W1040" s="34"/>
      <c r="X1040" s="34"/>
      <c r="Y1040" s="34"/>
      <c r="Z1040" s="34"/>
      <c r="AA1040" s="34"/>
      <c r="AB1040" s="34"/>
      <c r="AC1040" s="34"/>
      <c r="AD1040" s="34"/>
      <c r="AE1040" s="34"/>
      <c r="AF1040" s="34"/>
      <c r="AG1040" s="34"/>
      <c r="AH1040" s="34"/>
      <c r="AI1040" s="34"/>
      <c r="AJ1040" s="34"/>
      <c r="AK1040" s="34"/>
      <c r="AL1040" s="34"/>
      <c r="AM1040" s="34"/>
      <c r="AN1040" s="34"/>
      <c r="AO1040" s="34"/>
      <c r="AP1040" s="34"/>
      <c r="AQ1040" s="34"/>
      <c r="AR1040" s="34"/>
      <c r="AS1040" s="34"/>
    </row>
    <row r="1041" spans="1:45" ht="14.4">
      <c r="A1041" s="33"/>
      <c r="B1041" s="33"/>
      <c r="C1041" s="33"/>
      <c r="D1041" s="34"/>
      <c r="E1041" s="34"/>
      <c r="F1041" s="34"/>
      <c r="G1041" s="33"/>
      <c r="H1041" s="35"/>
      <c r="I1041" s="34"/>
      <c r="J1041" s="34"/>
      <c r="K1041" s="34"/>
      <c r="L1041" s="33"/>
      <c r="M1041" s="33"/>
      <c r="N1041" s="34"/>
      <c r="O1041" s="34"/>
      <c r="P1041" s="34"/>
      <c r="Q1041" s="34"/>
      <c r="R1041" s="34"/>
      <c r="S1041" s="34"/>
      <c r="T1041" s="34"/>
      <c r="U1041" s="34"/>
      <c r="V1041" s="34"/>
      <c r="W1041" s="34"/>
      <c r="X1041" s="34"/>
      <c r="Y1041" s="34"/>
      <c r="Z1041" s="34"/>
      <c r="AA1041" s="34"/>
      <c r="AB1041" s="34"/>
      <c r="AC1041" s="34"/>
      <c r="AD1041" s="34"/>
      <c r="AE1041" s="34"/>
      <c r="AF1041" s="34"/>
      <c r="AG1041" s="34"/>
      <c r="AH1041" s="34"/>
      <c r="AI1041" s="34"/>
      <c r="AJ1041" s="34"/>
      <c r="AK1041" s="34"/>
      <c r="AL1041" s="34"/>
      <c r="AM1041" s="34"/>
      <c r="AN1041" s="34"/>
      <c r="AO1041" s="34"/>
      <c r="AP1041" s="34"/>
      <c r="AQ1041" s="34"/>
      <c r="AR1041" s="34"/>
      <c r="AS1041" s="34"/>
    </row>
    <row r="1042" spans="1:45" ht="14.4">
      <c r="A1042" s="33"/>
      <c r="B1042" s="33"/>
      <c r="C1042" s="33"/>
      <c r="D1042" s="34"/>
      <c r="E1042" s="34"/>
      <c r="F1042" s="34"/>
      <c r="G1042" s="33"/>
      <c r="H1042" s="35"/>
      <c r="I1042" s="34"/>
      <c r="J1042" s="34"/>
      <c r="K1042" s="34"/>
      <c r="L1042" s="33"/>
      <c r="M1042" s="33"/>
      <c r="N1042" s="34"/>
      <c r="O1042" s="34"/>
      <c r="P1042" s="34"/>
      <c r="Q1042" s="34"/>
      <c r="R1042" s="34"/>
      <c r="S1042" s="34"/>
      <c r="T1042" s="34"/>
      <c r="U1042" s="34"/>
      <c r="V1042" s="34"/>
      <c r="W1042" s="34"/>
      <c r="X1042" s="34"/>
      <c r="Y1042" s="34"/>
      <c r="Z1042" s="34"/>
      <c r="AA1042" s="34"/>
      <c r="AB1042" s="34"/>
      <c r="AC1042" s="34"/>
      <c r="AD1042" s="34"/>
      <c r="AE1042" s="34"/>
      <c r="AF1042" s="34"/>
      <c r="AG1042" s="34"/>
      <c r="AH1042" s="34"/>
      <c r="AI1042" s="34"/>
      <c r="AJ1042" s="34"/>
      <c r="AK1042" s="34"/>
      <c r="AL1042" s="34"/>
      <c r="AM1042" s="34"/>
      <c r="AN1042" s="34"/>
      <c r="AO1042" s="34"/>
      <c r="AP1042" s="34"/>
      <c r="AQ1042" s="34"/>
      <c r="AR1042" s="34"/>
      <c r="AS1042" s="34"/>
    </row>
    <row r="1043" spans="1:45" ht="14.4">
      <c r="A1043" s="33"/>
      <c r="B1043" s="33"/>
      <c r="C1043" s="33"/>
      <c r="D1043" s="34"/>
      <c r="E1043" s="34"/>
      <c r="F1043" s="34"/>
      <c r="G1043" s="33"/>
      <c r="H1043" s="35"/>
      <c r="I1043" s="34"/>
      <c r="J1043" s="34"/>
      <c r="K1043" s="34"/>
      <c r="L1043" s="33"/>
      <c r="M1043" s="33"/>
      <c r="N1043" s="34"/>
      <c r="O1043" s="34"/>
      <c r="P1043" s="34"/>
      <c r="Q1043" s="34"/>
      <c r="R1043" s="34"/>
      <c r="S1043" s="34"/>
      <c r="T1043" s="34"/>
      <c r="U1043" s="34"/>
      <c r="V1043" s="34"/>
      <c r="W1043" s="34"/>
      <c r="X1043" s="34"/>
      <c r="Y1043" s="34"/>
      <c r="Z1043" s="34"/>
      <c r="AA1043" s="34"/>
      <c r="AB1043" s="34"/>
      <c r="AC1043" s="34"/>
      <c r="AD1043" s="34"/>
      <c r="AE1043" s="34"/>
      <c r="AF1043" s="34"/>
      <c r="AG1043" s="34"/>
      <c r="AH1043" s="34"/>
      <c r="AI1043" s="34"/>
      <c r="AJ1043" s="34"/>
      <c r="AK1043" s="34"/>
      <c r="AL1043" s="34"/>
      <c r="AM1043" s="34"/>
      <c r="AN1043" s="34"/>
      <c r="AO1043" s="34"/>
      <c r="AP1043" s="34"/>
      <c r="AQ1043" s="34"/>
      <c r="AR1043" s="34"/>
      <c r="AS1043" s="34"/>
    </row>
    <row r="1044" spans="1:45" ht="14.4">
      <c r="A1044" s="33"/>
      <c r="B1044" s="33"/>
      <c r="C1044" s="33"/>
      <c r="D1044" s="34"/>
      <c r="E1044" s="34"/>
      <c r="F1044" s="34"/>
      <c r="G1044" s="33"/>
      <c r="H1044" s="35"/>
      <c r="I1044" s="34"/>
      <c r="J1044" s="34"/>
      <c r="K1044" s="34"/>
      <c r="L1044" s="33"/>
      <c r="M1044" s="33"/>
      <c r="N1044" s="34"/>
      <c r="O1044" s="34"/>
      <c r="P1044" s="34"/>
      <c r="Q1044" s="34"/>
      <c r="R1044" s="34"/>
      <c r="S1044" s="34"/>
      <c r="T1044" s="34"/>
      <c r="U1044" s="34"/>
      <c r="V1044" s="34"/>
      <c r="W1044" s="34"/>
      <c r="X1044" s="34"/>
      <c r="Y1044" s="34"/>
      <c r="Z1044" s="34"/>
      <c r="AA1044" s="34"/>
      <c r="AB1044" s="34"/>
      <c r="AC1044" s="34"/>
      <c r="AD1044" s="34"/>
      <c r="AE1044" s="34"/>
      <c r="AF1044" s="34"/>
      <c r="AG1044" s="34"/>
      <c r="AH1044" s="34"/>
      <c r="AI1044" s="34"/>
      <c r="AJ1044" s="34"/>
      <c r="AK1044" s="34"/>
      <c r="AL1044" s="34"/>
      <c r="AM1044" s="34"/>
      <c r="AN1044" s="34"/>
      <c r="AO1044" s="34"/>
      <c r="AP1044" s="34"/>
      <c r="AQ1044" s="34"/>
      <c r="AR1044" s="34"/>
      <c r="AS1044" s="34"/>
    </row>
    <row r="1045" spans="1:45" ht="14.4">
      <c r="A1045" s="33"/>
      <c r="B1045" s="33"/>
      <c r="C1045" s="33"/>
      <c r="D1045" s="34"/>
      <c r="E1045" s="34"/>
      <c r="F1045" s="34"/>
      <c r="G1045" s="33"/>
      <c r="H1045" s="35"/>
      <c r="I1045" s="34"/>
      <c r="J1045" s="34"/>
      <c r="K1045" s="34"/>
      <c r="L1045" s="33"/>
      <c r="M1045" s="33"/>
      <c r="N1045" s="34"/>
      <c r="O1045" s="34"/>
      <c r="P1045" s="34"/>
      <c r="Q1045" s="34"/>
      <c r="R1045" s="34"/>
      <c r="S1045" s="34"/>
      <c r="T1045" s="34"/>
      <c r="U1045" s="34"/>
      <c r="V1045" s="34"/>
      <c r="W1045" s="34"/>
      <c r="X1045" s="34"/>
      <c r="Y1045" s="34"/>
      <c r="Z1045" s="34"/>
      <c r="AA1045" s="34"/>
      <c r="AB1045" s="34"/>
      <c r="AC1045" s="34"/>
      <c r="AD1045" s="34"/>
      <c r="AE1045" s="34"/>
      <c r="AF1045" s="34"/>
      <c r="AG1045" s="34"/>
      <c r="AH1045" s="34"/>
      <c r="AI1045" s="34"/>
      <c r="AJ1045" s="34"/>
      <c r="AK1045" s="34"/>
      <c r="AL1045" s="34"/>
      <c r="AM1045" s="34"/>
      <c r="AN1045" s="34"/>
      <c r="AO1045" s="34"/>
      <c r="AP1045" s="34"/>
      <c r="AQ1045" s="34"/>
      <c r="AR1045" s="34"/>
      <c r="AS1045" s="34"/>
    </row>
    <row r="1046" spans="1:45" ht="14.4">
      <c r="A1046" s="33"/>
      <c r="B1046" s="33"/>
      <c r="C1046" s="33"/>
      <c r="D1046" s="34"/>
      <c r="E1046" s="34"/>
      <c r="F1046" s="34"/>
      <c r="G1046" s="33"/>
      <c r="H1046" s="35"/>
      <c r="I1046" s="34"/>
      <c r="J1046" s="34"/>
      <c r="K1046" s="34"/>
      <c r="L1046" s="33"/>
      <c r="M1046" s="33"/>
      <c r="N1046" s="34"/>
      <c r="O1046" s="34"/>
      <c r="P1046" s="34"/>
      <c r="Q1046" s="34"/>
      <c r="R1046" s="34"/>
      <c r="S1046" s="34"/>
      <c r="T1046" s="34"/>
      <c r="U1046" s="34"/>
      <c r="V1046" s="34"/>
      <c r="W1046" s="34"/>
      <c r="X1046" s="34"/>
      <c r="Y1046" s="34"/>
      <c r="Z1046" s="34"/>
      <c r="AA1046" s="34"/>
      <c r="AB1046" s="34"/>
      <c r="AC1046" s="34"/>
      <c r="AD1046" s="34"/>
      <c r="AE1046" s="34"/>
      <c r="AF1046" s="34"/>
      <c r="AG1046" s="34"/>
      <c r="AH1046" s="34"/>
      <c r="AI1046" s="34"/>
      <c r="AJ1046" s="34"/>
      <c r="AK1046" s="34"/>
      <c r="AL1046" s="34"/>
      <c r="AM1046" s="34"/>
      <c r="AN1046" s="34"/>
      <c r="AO1046" s="34"/>
      <c r="AP1046" s="34"/>
      <c r="AQ1046" s="34"/>
      <c r="AR1046" s="34"/>
      <c r="AS1046" s="34"/>
    </row>
    <row r="1047" spans="1:45" ht="14.4">
      <c r="A1047" s="33"/>
      <c r="B1047" s="33"/>
      <c r="C1047" s="33"/>
      <c r="D1047" s="34"/>
      <c r="E1047" s="34"/>
      <c r="F1047" s="34"/>
      <c r="G1047" s="33"/>
      <c r="H1047" s="35"/>
      <c r="I1047" s="34"/>
      <c r="J1047" s="34"/>
      <c r="K1047" s="34"/>
      <c r="L1047" s="33"/>
      <c r="M1047" s="33"/>
      <c r="N1047" s="34"/>
      <c r="O1047" s="34"/>
      <c r="P1047" s="34"/>
      <c r="Q1047" s="34"/>
      <c r="R1047" s="34"/>
      <c r="S1047" s="34"/>
      <c r="T1047" s="34"/>
      <c r="U1047" s="34"/>
      <c r="V1047" s="34"/>
      <c r="W1047" s="34"/>
      <c r="X1047" s="34"/>
      <c r="Y1047" s="34"/>
      <c r="Z1047" s="34"/>
      <c r="AA1047" s="34"/>
      <c r="AB1047" s="34"/>
      <c r="AC1047" s="34"/>
      <c r="AD1047" s="34"/>
      <c r="AE1047" s="34"/>
      <c r="AF1047" s="34"/>
      <c r="AG1047" s="34"/>
      <c r="AH1047" s="34"/>
      <c r="AI1047" s="34"/>
      <c r="AJ1047" s="34"/>
      <c r="AK1047" s="34"/>
      <c r="AL1047" s="34"/>
      <c r="AM1047" s="34"/>
      <c r="AN1047" s="34"/>
      <c r="AO1047" s="34"/>
      <c r="AP1047" s="34"/>
      <c r="AQ1047" s="34"/>
      <c r="AR1047" s="34"/>
      <c r="AS1047" s="34"/>
    </row>
    <row r="1048" spans="1:45" ht="14.4">
      <c r="A1048" s="33"/>
      <c r="B1048" s="33"/>
      <c r="C1048" s="33"/>
      <c r="D1048" s="34"/>
      <c r="E1048" s="34"/>
      <c r="F1048" s="34"/>
      <c r="G1048" s="33"/>
      <c r="H1048" s="35"/>
      <c r="I1048" s="34"/>
      <c r="J1048" s="34"/>
      <c r="K1048" s="34"/>
      <c r="L1048" s="33"/>
      <c r="M1048" s="33"/>
      <c r="N1048" s="34"/>
      <c r="O1048" s="34"/>
      <c r="P1048" s="34"/>
      <c r="Q1048" s="34"/>
      <c r="R1048" s="34"/>
      <c r="S1048" s="34"/>
      <c r="T1048" s="34"/>
      <c r="U1048" s="34"/>
      <c r="V1048" s="34"/>
      <c r="W1048" s="34"/>
      <c r="X1048" s="34"/>
      <c r="Y1048" s="34"/>
      <c r="Z1048" s="34"/>
      <c r="AA1048" s="34"/>
      <c r="AB1048" s="34"/>
      <c r="AC1048" s="34"/>
      <c r="AD1048" s="34"/>
      <c r="AE1048" s="34"/>
      <c r="AF1048" s="34"/>
      <c r="AG1048" s="34"/>
      <c r="AH1048" s="34"/>
      <c r="AI1048" s="34"/>
      <c r="AJ1048" s="34"/>
      <c r="AK1048" s="34"/>
      <c r="AL1048" s="34"/>
      <c r="AM1048" s="34"/>
      <c r="AN1048" s="34"/>
      <c r="AO1048" s="34"/>
      <c r="AP1048" s="34"/>
      <c r="AQ1048" s="34"/>
      <c r="AR1048" s="34"/>
      <c r="AS1048" s="34"/>
    </row>
    <row r="1049" spans="1:45" ht="14.4">
      <c r="A1049" s="33"/>
      <c r="B1049" s="33"/>
      <c r="C1049" s="33"/>
      <c r="D1049" s="34"/>
      <c r="E1049" s="34"/>
      <c r="F1049" s="34"/>
      <c r="G1049" s="33"/>
      <c r="H1049" s="35"/>
      <c r="I1049" s="34"/>
      <c r="J1049" s="34"/>
      <c r="K1049" s="34"/>
      <c r="L1049" s="33"/>
      <c r="M1049" s="33"/>
      <c r="N1049" s="34"/>
      <c r="O1049" s="34"/>
      <c r="P1049" s="34"/>
      <c r="Q1049" s="34"/>
      <c r="R1049" s="34"/>
      <c r="S1049" s="34"/>
      <c r="T1049" s="34"/>
      <c r="U1049" s="34"/>
      <c r="V1049" s="34"/>
      <c r="W1049" s="34"/>
      <c r="X1049" s="34"/>
      <c r="Y1049" s="34"/>
      <c r="Z1049" s="34"/>
      <c r="AA1049" s="34"/>
      <c r="AB1049" s="34"/>
      <c r="AC1049" s="34"/>
      <c r="AD1049" s="34"/>
      <c r="AE1049" s="34"/>
      <c r="AF1049" s="34"/>
      <c r="AG1049" s="34"/>
      <c r="AH1049" s="34"/>
      <c r="AI1049" s="34"/>
      <c r="AJ1049" s="34"/>
      <c r="AK1049" s="34"/>
      <c r="AL1049" s="34"/>
      <c r="AM1049" s="34"/>
      <c r="AN1049" s="34"/>
      <c r="AO1049" s="34"/>
      <c r="AP1049" s="34"/>
      <c r="AQ1049" s="34"/>
      <c r="AR1049" s="34"/>
      <c r="AS1049" s="34"/>
    </row>
    <row r="1050" spans="1:45" ht="14.4">
      <c r="A1050" s="33"/>
      <c r="B1050" s="33"/>
      <c r="C1050" s="33"/>
      <c r="D1050" s="34"/>
      <c r="E1050" s="34"/>
      <c r="F1050" s="34"/>
      <c r="G1050" s="33"/>
      <c r="H1050" s="35"/>
      <c r="I1050" s="34"/>
      <c r="J1050" s="34"/>
      <c r="K1050" s="34"/>
      <c r="L1050" s="33"/>
      <c r="M1050" s="33"/>
      <c r="N1050" s="34"/>
      <c r="O1050" s="34"/>
      <c r="P1050" s="34"/>
      <c r="Q1050" s="34"/>
      <c r="R1050" s="34"/>
      <c r="S1050" s="34"/>
      <c r="T1050" s="34"/>
      <c r="U1050" s="34"/>
      <c r="V1050" s="34"/>
      <c r="W1050" s="34"/>
      <c r="X1050" s="34"/>
      <c r="Y1050" s="34"/>
      <c r="Z1050" s="34"/>
      <c r="AA1050" s="34"/>
      <c r="AB1050" s="34"/>
      <c r="AC1050" s="34"/>
      <c r="AD1050" s="34"/>
      <c r="AE1050" s="34"/>
      <c r="AF1050" s="34"/>
      <c r="AG1050" s="34"/>
      <c r="AH1050" s="34"/>
      <c r="AI1050" s="34"/>
      <c r="AJ1050" s="34"/>
      <c r="AK1050" s="34"/>
      <c r="AL1050" s="34"/>
      <c r="AM1050" s="34"/>
      <c r="AN1050" s="34"/>
      <c r="AO1050" s="34"/>
      <c r="AP1050" s="34"/>
      <c r="AQ1050" s="34"/>
      <c r="AR1050" s="34"/>
      <c r="AS1050" s="34"/>
    </row>
    <row r="1051" spans="1:45" ht="14.4">
      <c r="A1051" s="33"/>
      <c r="B1051" s="33"/>
      <c r="C1051" s="33"/>
      <c r="D1051" s="34"/>
      <c r="E1051" s="34"/>
      <c r="F1051" s="34"/>
      <c r="G1051" s="33"/>
      <c r="H1051" s="35"/>
      <c r="I1051" s="34"/>
      <c r="J1051" s="34"/>
      <c r="K1051" s="34"/>
      <c r="L1051" s="33"/>
      <c r="M1051" s="33"/>
      <c r="N1051" s="34"/>
      <c r="O1051" s="34"/>
      <c r="P1051" s="34"/>
      <c r="Q1051" s="34"/>
      <c r="R1051" s="34"/>
      <c r="S1051" s="34"/>
      <c r="T1051" s="34"/>
      <c r="U1051" s="34"/>
      <c r="V1051" s="34"/>
      <c r="W1051" s="34"/>
      <c r="X1051" s="34"/>
      <c r="Y1051" s="34"/>
      <c r="Z1051" s="34"/>
      <c r="AA1051" s="34"/>
      <c r="AB1051" s="34"/>
      <c r="AC1051" s="34"/>
      <c r="AD1051" s="34"/>
      <c r="AE1051" s="34"/>
      <c r="AF1051" s="34"/>
      <c r="AG1051" s="34"/>
      <c r="AH1051" s="34"/>
      <c r="AI1051" s="34"/>
      <c r="AJ1051" s="34"/>
      <c r="AK1051" s="34"/>
      <c r="AL1051" s="34"/>
      <c r="AM1051" s="34"/>
      <c r="AN1051" s="34"/>
      <c r="AO1051" s="34"/>
      <c r="AP1051" s="34"/>
      <c r="AQ1051" s="34"/>
      <c r="AR1051" s="34"/>
      <c r="AS1051" s="34"/>
    </row>
    <row r="1052" spans="1:45" ht="14.4">
      <c r="A1052" s="33"/>
      <c r="B1052" s="33"/>
      <c r="C1052" s="33"/>
      <c r="D1052" s="34"/>
      <c r="E1052" s="34"/>
      <c r="F1052" s="34"/>
      <c r="G1052" s="33"/>
      <c r="H1052" s="35"/>
      <c r="I1052" s="34"/>
      <c r="J1052" s="34"/>
      <c r="K1052" s="34"/>
      <c r="L1052" s="33"/>
      <c r="M1052" s="33"/>
      <c r="N1052" s="34"/>
      <c r="O1052" s="34"/>
      <c r="P1052" s="34"/>
      <c r="Q1052" s="34"/>
      <c r="R1052" s="34"/>
      <c r="S1052" s="34"/>
      <c r="T1052" s="34"/>
      <c r="U1052" s="34"/>
      <c r="V1052" s="34"/>
      <c r="W1052" s="34"/>
      <c r="X1052" s="34"/>
      <c r="Y1052" s="34"/>
      <c r="Z1052" s="34"/>
      <c r="AA1052" s="34"/>
      <c r="AB1052" s="34"/>
      <c r="AC1052" s="34"/>
      <c r="AD1052" s="34"/>
      <c r="AE1052" s="34"/>
      <c r="AF1052" s="34"/>
      <c r="AG1052" s="34"/>
      <c r="AH1052" s="34"/>
      <c r="AI1052" s="34"/>
      <c r="AJ1052" s="34"/>
      <c r="AK1052" s="34"/>
      <c r="AL1052" s="34"/>
      <c r="AM1052" s="34"/>
      <c r="AN1052" s="34"/>
      <c r="AO1052" s="34"/>
      <c r="AP1052" s="34"/>
      <c r="AQ1052" s="34"/>
      <c r="AR1052" s="34"/>
      <c r="AS1052" s="34"/>
    </row>
    <row r="1053" spans="1:45" ht="14.4">
      <c r="A1053" s="33"/>
      <c r="B1053" s="33"/>
      <c r="C1053" s="33"/>
      <c r="D1053" s="34"/>
      <c r="E1053" s="34"/>
      <c r="F1053" s="34"/>
      <c r="G1053" s="33"/>
      <c r="H1053" s="35"/>
      <c r="I1053" s="34"/>
      <c r="J1053" s="34"/>
      <c r="K1053" s="34"/>
      <c r="L1053" s="33"/>
      <c r="M1053" s="33"/>
      <c r="N1053" s="34"/>
      <c r="O1053" s="34"/>
      <c r="P1053" s="34"/>
      <c r="Q1053" s="34"/>
      <c r="R1053" s="34"/>
      <c r="S1053" s="34"/>
      <c r="T1053" s="34"/>
      <c r="U1053" s="34"/>
      <c r="V1053" s="34"/>
      <c r="W1053" s="34"/>
      <c r="X1053" s="34"/>
      <c r="Y1053" s="34"/>
      <c r="Z1053" s="34"/>
      <c r="AA1053" s="34"/>
      <c r="AB1053" s="34"/>
      <c r="AC1053" s="34"/>
      <c r="AD1053" s="34"/>
      <c r="AE1053" s="34"/>
      <c r="AF1053" s="34"/>
      <c r="AG1053" s="34"/>
      <c r="AH1053" s="34"/>
      <c r="AI1053" s="34"/>
      <c r="AJ1053" s="34"/>
      <c r="AK1053" s="34"/>
      <c r="AL1053" s="34"/>
      <c r="AM1053" s="34"/>
      <c r="AN1053" s="34"/>
      <c r="AO1053" s="34"/>
      <c r="AP1053" s="34"/>
      <c r="AQ1053" s="34"/>
      <c r="AR1053" s="34"/>
      <c r="AS1053" s="34"/>
    </row>
    <row r="1054" spans="1:45" ht="14.4">
      <c r="A1054" s="33"/>
      <c r="B1054" s="33"/>
      <c r="C1054" s="33"/>
      <c r="D1054" s="34"/>
      <c r="E1054" s="34"/>
      <c r="F1054" s="34"/>
      <c r="G1054" s="33"/>
      <c r="H1054" s="35"/>
      <c r="I1054" s="34"/>
      <c r="J1054" s="34"/>
      <c r="K1054" s="34"/>
      <c r="L1054" s="33"/>
      <c r="M1054" s="33"/>
      <c r="N1054" s="34"/>
      <c r="O1054" s="34"/>
      <c r="P1054" s="34"/>
      <c r="Q1054" s="34"/>
      <c r="R1054" s="34"/>
      <c r="S1054" s="34"/>
      <c r="T1054" s="34"/>
      <c r="U1054" s="34"/>
      <c r="V1054" s="34"/>
      <c r="W1054" s="34"/>
      <c r="X1054" s="34"/>
      <c r="Y1054" s="34"/>
      <c r="Z1054" s="34"/>
      <c r="AA1054" s="34"/>
      <c r="AB1054" s="34"/>
      <c r="AC1054" s="34"/>
      <c r="AD1054" s="34"/>
      <c r="AE1054" s="34"/>
      <c r="AF1054" s="34"/>
      <c r="AG1054" s="34"/>
      <c r="AH1054" s="34"/>
      <c r="AI1054" s="34"/>
      <c r="AJ1054" s="34"/>
      <c r="AK1054" s="34"/>
      <c r="AL1054" s="34"/>
      <c r="AM1054" s="34"/>
      <c r="AN1054" s="34"/>
      <c r="AO1054" s="34"/>
      <c r="AP1054" s="34"/>
      <c r="AQ1054" s="34"/>
      <c r="AR1054" s="34"/>
      <c r="AS1054" s="34"/>
    </row>
    <row r="1055" spans="1:45" ht="14.4">
      <c r="A1055" s="33"/>
      <c r="B1055" s="33"/>
      <c r="C1055" s="33"/>
      <c r="D1055" s="34"/>
      <c r="E1055" s="34"/>
      <c r="F1055" s="34"/>
      <c r="G1055" s="33"/>
      <c r="H1055" s="35"/>
      <c r="I1055" s="34"/>
      <c r="J1055" s="34"/>
      <c r="K1055" s="34"/>
      <c r="L1055" s="33"/>
      <c r="M1055" s="33"/>
      <c r="N1055" s="34"/>
      <c r="O1055" s="34"/>
      <c r="P1055" s="34"/>
      <c r="Q1055" s="34"/>
      <c r="R1055" s="34"/>
      <c r="S1055" s="34"/>
      <c r="T1055" s="34"/>
      <c r="U1055" s="34"/>
      <c r="V1055" s="34"/>
      <c r="W1055" s="34"/>
      <c r="X1055" s="34"/>
      <c r="Y1055" s="34"/>
      <c r="Z1055" s="34"/>
      <c r="AA1055" s="34"/>
      <c r="AB1055" s="34"/>
      <c r="AC1055" s="34"/>
      <c r="AD1055" s="34"/>
      <c r="AE1055" s="34"/>
      <c r="AF1055" s="34"/>
      <c r="AG1055" s="34"/>
      <c r="AH1055" s="34"/>
      <c r="AI1055" s="34"/>
      <c r="AJ1055" s="34"/>
      <c r="AK1055" s="34"/>
      <c r="AL1055" s="34"/>
      <c r="AM1055" s="34"/>
      <c r="AN1055" s="34"/>
      <c r="AO1055" s="34"/>
      <c r="AP1055" s="34"/>
      <c r="AQ1055" s="34"/>
      <c r="AR1055" s="34"/>
      <c r="AS1055" s="34"/>
    </row>
    <row r="1056" spans="1:45" ht="14.4">
      <c r="A1056" s="33"/>
      <c r="B1056" s="33"/>
      <c r="C1056" s="33"/>
      <c r="D1056" s="34"/>
      <c r="E1056" s="34"/>
      <c r="F1056" s="34"/>
      <c r="G1056" s="33"/>
      <c r="H1056" s="35"/>
      <c r="I1056" s="34"/>
      <c r="J1056" s="34"/>
      <c r="K1056" s="34"/>
      <c r="L1056" s="33"/>
      <c r="M1056" s="33"/>
      <c r="N1056" s="34"/>
      <c r="O1056" s="34"/>
      <c r="P1056" s="34"/>
      <c r="Q1056" s="34"/>
      <c r="R1056" s="34"/>
      <c r="S1056" s="34"/>
      <c r="T1056" s="34"/>
      <c r="U1056" s="34"/>
      <c r="V1056" s="34"/>
      <c r="W1056" s="34"/>
      <c r="X1056" s="34"/>
      <c r="Y1056" s="34"/>
      <c r="Z1056" s="34"/>
      <c r="AA1056" s="34"/>
      <c r="AB1056" s="34"/>
      <c r="AC1056" s="34"/>
      <c r="AD1056" s="34"/>
      <c r="AE1056" s="34"/>
      <c r="AF1056" s="34"/>
      <c r="AG1056" s="34"/>
      <c r="AH1056" s="34"/>
      <c r="AI1056" s="34"/>
      <c r="AJ1056" s="34"/>
      <c r="AK1056" s="34"/>
      <c r="AL1056" s="34"/>
      <c r="AM1056" s="34"/>
      <c r="AN1056" s="34"/>
      <c r="AO1056" s="34"/>
      <c r="AP1056" s="34"/>
      <c r="AQ1056" s="34"/>
      <c r="AR1056" s="34"/>
      <c r="AS1056" s="34"/>
    </row>
    <row r="1057" spans="1:45" ht="14.4">
      <c r="A1057" s="33"/>
      <c r="B1057" s="33"/>
      <c r="C1057" s="33"/>
      <c r="D1057" s="34"/>
      <c r="E1057" s="34"/>
      <c r="F1057" s="34"/>
      <c r="G1057" s="33"/>
      <c r="H1057" s="35"/>
      <c r="I1057" s="34"/>
      <c r="J1057" s="34"/>
      <c r="K1057" s="34"/>
      <c r="L1057" s="33"/>
      <c r="M1057" s="33"/>
      <c r="N1057" s="34"/>
      <c r="O1057" s="34"/>
      <c r="P1057" s="34"/>
      <c r="Q1057" s="34"/>
      <c r="R1057" s="34"/>
      <c r="S1057" s="34"/>
      <c r="T1057" s="34"/>
      <c r="U1057" s="34"/>
      <c r="V1057" s="34"/>
      <c r="W1057" s="34"/>
      <c r="X1057" s="34"/>
      <c r="Y1057" s="34"/>
      <c r="Z1057" s="34"/>
      <c r="AA1057" s="34"/>
      <c r="AB1057" s="34"/>
      <c r="AC1057" s="34"/>
      <c r="AD1057" s="34"/>
      <c r="AE1057" s="34"/>
      <c r="AF1057" s="34"/>
      <c r="AG1057" s="34"/>
      <c r="AH1057" s="34"/>
      <c r="AI1057" s="34"/>
      <c r="AJ1057" s="34"/>
      <c r="AK1057" s="34"/>
      <c r="AL1057" s="34"/>
      <c r="AM1057" s="34"/>
      <c r="AN1057" s="34"/>
      <c r="AO1057" s="34"/>
      <c r="AP1057" s="34"/>
      <c r="AQ1057" s="34"/>
      <c r="AR1057" s="34"/>
      <c r="AS1057" s="34"/>
    </row>
    <row r="1058" spans="1:45" ht="14.4">
      <c r="A1058" s="33"/>
      <c r="B1058" s="33"/>
      <c r="C1058" s="33"/>
      <c r="D1058" s="34"/>
      <c r="E1058" s="34"/>
      <c r="F1058" s="34"/>
      <c r="G1058" s="33"/>
      <c r="H1058" s="35"/>
      <c r="I1058" s="34"/>
      <c r="J1058" s="34"/>
      <c r="K1058" s="34"/>
      <c r="L1058" s="33"/>
      <c r="M1058" s="33"/>
      <c r="N1058" s="34"/>
      <c r="O1058" s="34"/>
      <c r="P1058" s="34"/>
      <c r="Q1058" s="34"/>
      <c r="R1058" s="34"/>
      <c r="S1058" s="34"/>
      <c r="T1058" s="34"/>
      <c r="U1058" s="34"/>
      <c r="V1058" s="34"/>
      <c r="W1058" s="34"/>
      <c r="X1058" s="34"/>
      <c r="Y1058" s="34"/>
      <c r="Z1058" s="34"/>
      <c r="AA1058" s="34"/>
      <c r="AB1058" s="34"/>
      <c r="AC1058" s="34"/>
      <c r="AD1058" s="34"/>
      <c r="AE1058" s="34"/>
      <c r="AF1058" s="34"/>
      <c r="AG1058" s="34"/>
      <c r="AH1058" s="34"/>
      <c r="AI1058" s="34"/>
      <c r="AJ1058" s="34"/>
      <c r="AK1058" s="34"/>
      <c r="AL1058" s="34"/>
      <c r="AM1058" s="34"/>
      <c r="AN1058" s="34"/>
      <c r="AO1058" s="34"/>
      <c r="AP1058" s="34"/>
      <c r="AQ1058" s="34"/>
      <c r="AR1058" s="34"/>
      <c r="AS1058" s="34"/>
    </row>
    <row r="1059" spans="1:45" ht="14.4">
      <c r="A1059" s="33"/>
      <c r="B1059" s="33"/>
      <c r="C1059" s="33"/>
      <c r="D1059" s="34"/>
      <c r="E1059" s="34"/>
      <c r="F1059" s="34"/>
      <c r="G1059" s="33"/>
      <c r="H1059" s="35"/>
      <c r="I1059" s="34"/>
      <c r="J1059" s="34"/>
      <c r="K1059" s="34"/>
      <c r="L1059" s="33"/>
      <c r="M1059" s="33"/>
      <c r="N1059" s="34"/>
      <c r="O1059" s="34"/>
      <c r="P1059" s="34"/>
      <c r="Q1059" s="34"/>
      <c r="R1059" s="34"/>
      <c r="S1059" s="34"/>
      <c r="T1059" s="34"/>
      <c r="U1059" s="34"/>
      <c r="V1059" s="34"/>
      <c r="W1059" s="34"/>
      <c r="X1059" s="34"/>
      <c r="Y1059" s="34"/>
      <c r="Z1059" s="34"/>
      <c r="AA1059" s="34"/>
      <c r="AB1059" s="34"/>
      <c r="AC1059" s="34"/>
      <c r="AD1059" s="34"/>
      <c r="AE1059" s="34"/>
      <c r="AF1059" s="34"/>
      <c r="AG1059" s="34"/>
      <c r="AH1059" s="34"/>
      <c r="AI1059" s="34"/>
      <c r="AJ1059" s="34"/>
      <c r="AK1059" s="34"/>
      <c r="AL1059" s="34"/>
      <c r="AM1059" s="34"/>
      <c r="AN1059" s="34"/>
      <c r="AO1059" s="34"/>
      <c r="AP1059" s="34"/>
      <c r="AQ1059" s="34"/>
      <c r="AR1059" s="34"/>
      <c r="AS1059" s="34"/>
    </row>
    <row r="1060" spans="1:45" ht="14.4">
      <c r="A1060" s="33"/>
      <c r="B1060" s="33"/>
      <c r="C1060" s="33"/>
      <c r="D1060" s="34"/>
      <c r="E1060" s="34"/>
      <c r="F1060" s="34"/>
      <c r="G1060" s="33"/>
      <c r="H1060" s="35"/>
      <c r="I1060" s="34"/>
      <c r="J1060" s="34"/>
      <c r="K1060" s="34"/>
      <c r="L1060" s="33"/>
      <c r="M1060" s="33"/>
      <c r="N1060" s="34"/>
      <c r="O1060" s="34"/>
      <c r="P1060" s="34"/>
      <c r="Q1060" s="34"/>
      <c r="R1060" s="34"/>
      <c r="S1060" s="34"/>
      <c r="T1060" s="34"/>
      <c r="U1060" s="34"/>
      <c r="V1060" s="34"/>
      <c r="W1060" s="34"/>
      <c r="X1060" s="34"/>
      <c r="Y1060" s="34"/>
      <c r="Z1060" s="34"/>
      <c r="AA1060" s="34"/>
      <c r="AB1060" s="34"/>
      <c r="AC1060" s="34"/>
      <c r="AD1060" s="34"/>
      <c r="AE1060" s="34"/>
      <c r="AF1060" s="34"/>
      <c r="AG1060" s="34"/>
      <c r="AH1060" s="34"/>
      <c r="AI1060" s="34"/>
      <c r="AJ1060" s="34"/>
      <c r="AK1060" s="34"/>
      <c r="AL1060" s="34"/>
      <c r="AM1060" s="34"/>
      <c r="AN1060" s="34"/>
      <c r="AO1060" s="34"/>
      <c r="AP1060" s="34"/>
      <c r="AQ1060" s="34"/>
      <c r="AR1060" s="34"/>
      <c r="AS1060" s="34"/>
    </row>
    <row r="1061" spans="1:45" ht="14.4">
      <c r="A1061" s="33"/>
      <c r="B1061" s="33"/>
      <c r="C1061" s="33"/>
      <c r="D1061" s="34"/>
      <c r="E1061" s="34"/>
      <c r="F1061" s="34"/>
      <c r="G1061" s="33"/>
      <c r="H1061" s="35"/>
      <c r="I1061" s="34"/>
      <c r="J1061" s="34"/>
      <c r="K1061" s="34"/>
      <c r="L1061" s="33"/>
      <c r="M1061" s="33"/>
      <c r="N1061" s="34"/>
      <c r="O1061" s="34"/>
      <c r="P1061" s="34"/>
      <c r="Q1061" s="34"/>
      <c r="R1061" s="34"/>
      <c r="S1061" s="34"/>
      <c r="T1061" s="34"/>
      <c r="U1061" s="34"/>
      <c r="V1061" s="34"/>
      <c r="W1061" s="34"/>
      <c r="X1061" s="34"/>
      <c r="Y1061" s="34"/>
      <c r="Z1061" s="34"/>
      <c r="AA1061" s="34"/>
      <c r="AB1061" s="34"/>
      <c r="AC1061" s="34"/>
      <c r="AD1061" s="34"/>
      <c r="AE1061" s="34"/>
      <c r="AF1061" s="34"/>
      <c r="AG1061" s="34"/>
      <c r="AH1061" s="34"/>
      <c r="AI1061" s="34"/>
      <c r="AJ1061" s="34"/>
      <c r="AK1061" s="34"/>
      <c r="AL1061" s="34"/>
      <c r="AM1061" s="34"/>
      <c r="AN1061" s="34"/>
      <c r="AO1061" s="34"/>
      <c r="AP1061" s="34"/>
      <c r="AQ1061" s="34"/>
      <c r="AR1061" s="34"/>
      <c r="AS1061" s="34"/>
    </row>
    <row r="1062" spans="1:45" ht="14.4">
      <c r="A1062" s="33"/>
      <c r="B1062" s="33"/>
      <c r="C1062" s="33"/>
      <c r="D1062" s="34"/>
      <c r="E1062" s="34"/>
      <c r="F1062" s="34"/>
      <c r="G1062" s="33"/>
      <c r="H1062" s="35"/>
      <c r="I1062" s="34"/>
      <c r="J1062" s="34"/>
      <c r="K1062" s="34"/>
      <c r="L1062" s="33"/>
      <c r="M1062" s="33"/>
      <c r="N1062" s="34"/>
      <c r="O1062" s="34"/>
      <c r="P1062" s="34"/>
      <c r="Q1062" s="34"/>
      <c r="R1062" s="34"/>
      <c r="S1062" s="34"/>
      <c r="T1062" s="34"/>
      <c r="U1062" s="34"/>
      <c r="V1062" s="34"/>
      <c r="W1062" s="34"/>
      <c r="X1062" s="34"/>
      <c r="Y1062" s="34"/>
      <c r="Z1062" s="34"/>
      <c r="AA1062" s="34"/>
      <c r="AB1062" s="34"/>
      <c r="AC1062" s="34"/>
      <c r="AD1062" s="34"/>
      <c r="AE1062" s="34"/>
      <c r="AF1062" s="34"/>
      <c r="AG1062" s="34"/>
      <c r="AH1062" s="34"/>
      <c r="AI1062" s="34"/>
      <c r="AJ1062" s="34"/>
      <c r="AK1062" s="34"/>
      <c r="AL1062" s="34"/>
      <c r="AM1062" s="34"/>
      <c r="AN1062" s="34"/>
      <c r="AO1062" s="34"/>
      <c r="AP1062" s="34"/>
      <c r="AQ1062" s="34"/>
      <c r="AR1062" s="34"/>
      <c r="AS1062" s="34"/>
    </row>
    <row r="1063" spans="1:45" ht="14.4">
      <c r="A1063" s="33"/>
      <c r="B1063" s="33"/>
      <c r="C1063" s="33"/>
      <c r="D1063" s="34"/>
      <c r="E1063" s="34"/>
      <c r="F1063" s="34"/>
      <c r="G1063" s="33"/>
      <c r="H1063" s="35"/>
      <c r="I1063" s="34"/>
      <c r="J1063" s="34"/>
      <c r="K1063" s="34"/>
      <c r="L1063" s="33"/>
      <c r="M1063" s="33"/>
      <c r="N1063" s="34"/>
      <c r="O1063" s="34"/>
      <c r="P1063" s="34"/>
      <c r="Q1063" s="34"/>
      <c r="R1063" s="34"/>
      <c r="S1063" s="34"/>
      <c r="T1063" s="34"/>
      <c r="U1063" s="34"/>
      <c r="V1063" s="34"/>
      <c r="W1063" s="34"/>
      <c r="X1063" s="34"/>
      <c r="Y1063" s="34"/>
      <c r="Z1063" s="34"/>
      <c r="AA1063" s="34"/>
      <c r="AB1063" s="34"/>
      <c r="AC1063" s="34"/>
      <c r="AD1063" s="34"/>
      <c r="AE1063" s="34"/>
      <c r="AF1063" s="34"/>
      <c r="AG1063" s="34"/>
      <c r="AH1063" s="34"/>
      <c r="AI1063" s="34"/>
      <c r="AJ1063" s="34"/>
      <c r="AK1063" s="34"/>
      <c r="AL1063" s="34"/>
      <c r="AM1063" s="34"/>
      <c r="AN1063" s="34"/>
      <c r="AO1063" s="34"/>
      <c r="AP1063" s="34"/>
      <c r="AQ1063" s="34"/>
      <c r="AR1063" s="34"/>
      <c r="AS1063" s="34"/>
    </row>
    <row r="1064" spans="1:45" ht="14.4">
      <c r="A1064" s="33"/>
      <c r="B1064" s="33"/>
      <c r="C1064" s="33"/>
      <c r="D1064" s="34"/>
      <c r="E1064" s="34"/>
      <c r="F1064" s="34"/>
      <c r="G1064" s="33"/>
      <c r="H1064" s="35"/>
      <c r="I1064" s="34"/>
      <c r="J1064" s="34"/>
      <c r="K1064" s="34"/>
      <c r="L1064" s="33"/>
      <c r="M1064" s="33"/>
      <c r="N1064" s="34"/>
      <c r="O1064" s="34"/>
      <c r="P1064" s="34"/>
      <c r="Q1064" s="34"/>
      <c r="R1064" s="34"/>
      <c r="S1064" s="34"/>
      <c r="T1064" s="34"/>
      <c r="U1064" s="34"/>
      <c r="V1064" s="34"/>
      <c r="W1064" s="34"/>
      <c r="X1064" s="34"/>
      <c r="Y1064" s="34"/>
      <c r="Z1064" s="34"/>
      <c r="AA1064" s="34"/>
      <c r="AB1064" s="34"/>
      <c r="AC1064" s="34"/>
      <c r="AD1064" s="34"/>
      <c r="AE1064" s="34"/>
      <c r="AF1064" s="34"/>
      <c r="AG1064" s="34"/>
      <c r="AH1064" s="34"/>
      <c r="AI1064" s="34"/>
      <c r="AJ1064" s="34"/>
      <c r="AK1064" s="34"/>
      <c r="AL1064" s="34"/>
      <c r="AM1064" s="34"/>
      <c r="AN1064" s="34"/>
      <c r="AO1064" s="34"/>
      <c r="AP1064" s="34"/>
      <c r="AQ1064" s="34"/>
      <c r="AR1064" s="34"/>
      <c r="AS1064" s="34"/>
    </row>
    <row r="1065" spans="1:45" ht="14.4">
      <c r="A1065" s="33"/>
      <c r="B1065" s="33"/>
      <c r="C1065" s="33"/>
      <c r="D1065" s="34"/>
      <c r="E1065" s="34"/>
      <c r="F1065" s="34"/>
      <c r="G1065" s="33"/>
      <c r="H1065" s="35"/>
      <c r="I1065" s="34"/>
      <c r="J1065" s="34"/>
      <c r="K1065" s="34"/>
      <c r="L1065" s="33"/>
      <c r="M1065" s="33"/>
      <c r="N1065" s="34"/>
      <c r="O1065" s="34"/>
      <c r="P1065" s="34"/>
      <c r="Q1065" s="34"/>
      <c r="R1065" s="34"/>
      <c r="S1065" s="34"/>
      <c r="T1065" s="34"/>
      <c r="U1065" s="34"/>
      <c r="V1065" s="34"/>
      <c r="W1065" s="34"/>
      <c r="X1065" s="34"/>
      <c r="Y1065" s="34"/>
      <c r="Z1065" s="34"/>
      <c r="AA1065" s="34"/>
      <c r="AB1065" s="34"/>
      <c r="AC1065" s="34"/>
      <c r="AD1065" s="34"/>
      <c r="AE1065" s="34"/>
      <c r="AF1065" s="34"/>
      <c r="AG1065" s="34"/>
      <c r="AH1065" s="34"/>
      <c r="AI1065" s="34"/>
      <c r="AJ1065" s="34"/>
      <c r="AK1065" s="34"/>
      <c r="AL1065" s="34"/>
      <c r="AM1065" s="34"/>
      <c r="AN1065" s="34"/>
      <c r="AO1065" s="34"/>
      <c r="AP1065" s="34"/>
      <c r="AQ1065" s="34"/>
      <c r="AR1065" s="34"/>
      <c r="AS1065" s="34"/>
    </row>
    <row r="1066" spans="1:45" ht="14.4">
      <c r="A1066" s="33"/>
      <c r="B1066" s="33"/>
      <c r="C1066" s="33"/>
      <c r="D1066" s="34"/>
      <c r="E1066" s="34"/>
      <c r="F1066" s="34"/>
      <c r="G1066" s="33"/>
      <c r="H1066" s="35"/>
      <c r="I1066" s="34"/>
      <c r="J1066" s="34"/>
      <c r="K1066" s="34"/>
      <c r="L1066" s="33"/>
      <c r="M1066" s="33"/>
      <c r="N1066" s="34"/>
      <c r="O1066" s="34"/>
      <c r="P1066" s="34"/>
      <c r="Q1066" s="34"/>
      <c r="R1066" s="34"/>
      <c r="S1066" s="34"/>
      <c r="T1066" s="34"/>
      <c r="U1066" s="34"/>
      <c r="V1066" s="34"/>
      <c r="W1066" s="34"/>
      <c r="X1066" s="34"/>
      <c r="Y1066" s="34"/>
      <c r="Z1066" s="34"/>
      <c r="AA1066" s="34"/>
      <c r="AB1066" s="34"/>
      <c r="AC1066" s="34"/>
      <c r="AD1066" s="34"/>
      <c r="AE1066" s="34"/>
      <c r="AF1066" s="34"/>
      <c r="AG1066" s="34"/>
      <c r="AH1066" s="34"/>
      <c r="AI1066" s="34"/>
      <c r="AJ1066" s="34"/>
      <c r="AK1066" s="34"/>
      <c r="AL1066" s="34"/>
      <c r="AM1066" s="34"/>
      <c r="AN1066" s="34"/>
      <c r="AO1066" s="34"/>
      <c r="AP1066" s="34"/>
      <c r="AQ1066" s="34"/>
      <c r="AR1066" s="34"/>
      <c r="AS1066" s="34"/>
    </row>
    <row r="1067" spans="1:45" ht="14.4">
      <c r="A1067" s="33"/>
      <c r="B1067" s="33"/>
      <c r="C1067" s="33"/>
      <c r="D1067" s="34"/>
      <c r="E1067" s="34"/>
      <c r="F1067" s="34"/>
      <c r="G1067" s="33"/>
      <c r="H1067" s="35"/>
      <c r="I1067" s="34"/>
      <c r="J1067" s="34"/>
      <c r="K1067" s="34"/>
      <c r="L1067" s="33"/>
      <c r="M1067" s="33"/>
      <c r="N1067" s="34"/>
      <c r="O1067" s="34"/>
      <c r="P1067" s="34"/>
      <c r="Q1067" s="34"/>
      <c r="R1067" s="34"/>
      <c r="S1067" s="34"/>
      <c r="T1067" s="34"/>
      <c r="U1067" s="34"/>
      <c r="V1067" s="34"/>
      <c r="W1067" s="34"/>
      <c r="X1067" s="34"/>
      <c r="Y1067" s="34"/>
      <c r="Z1067" s="34"/>
      <c r="AA1067" s="34"/>
      <c r="AB1067" s="34"/>
      <c r="AC1067" s="34"/>
      <c r="AD1067" s="34"/>
      <c r="AE1067" s="34"/>
      <c r="AF1067" s="34"/>
      <c r="AG1067" s="34"/>
      <c r="AH1067" s="34"/>
      <c r="AI1067" s="34"/>
      <c r="AJ1067" s="34"/>
      <c r="AK1067" s="34"/>
      <c r="AL1067" s="34"/>
      <c r="AM1067" s="34"/>
      <c r="AN1067" s="34"/>
      <c r="AO1067" s="34"/>
      <c r="AP1067" s="34"/>
      <c r="AQ1067" s="34"/>
      <c r="AR1067" s="34"/>
      <c r="AS1067" s="34"/>
    </row>
    <row r="1068" spans="1:45" ht="14.4">
      <c r="A1068" s="33"/>
      <c r="B1068" s="33"/>
      <c r="C1068" s="33"/>
      <c r="D1068" s="34"/>
      <c r="E1068" s="34"/>
      <c r="F1068" s="34"/>
      <c r="G1068" s="33"/>
      <c r="H1068" s="35"/>
      <c r="I1068" s="34"/>
      <c r="J1068" s="34"/>
      <c r="K1068" s="34"/>
      <c r="L1068" s="33"/>
      <c r="M1068" s="33"/>
      <c r="N1068" s="34"/>
      <c r="O1068" s="34"/>
      <c r="P1068" s="34"/>
      <c r="Q1068" s="34"/>
      <c r="R1068" s="34"/>
      <c r="S1068" s="34"/>
      <c r="T1068" s="34"/>
      <c r="U1068" s="34"/>
      <c r="V1068" s="34"/>
      <c r="W1068" s="34"/>
      <c r="X1068" s="34"/>
      <c r="Y1068" s="34"/>
      <c r="Z1068" s="34"/>
      <c r="AA1068" s="34"/>
      <c r="AB1068" s="34"/>
      <c r="AC1068" s="34"/>
      <c r="AD1068" s="34"/>
      <c r="AE1068" s="34"/>
      <c r="AF1068" s="34"/>
      <c r="AG1068" s="34"/>
      <c r="AH1068" s="34"/>
      <c r="AI1068" s="34"/>
      <c r="AJ1068" s="34"/>
      <c r="AK1068" s="34"/>
      <c r="AL1068" s="34"/>
      <c r="AM1068" s="34"/>
      <c r="AN1068" s="34"/>
      <c r="AO1068" s="34"/>
      <c r="AP1068" s="34"/>
      <c r="AQ1068" s="34"/>
      <c r="AR1068" s="34"/>
      <c r="AS1068" s="34"/>
    </row>
    <row r="1069" spans="1:45" ht="14.4">
      <c r="A1069" s="33"/>
      <c r="B1069" s="33"/>
      <c r="C1069" s="33"/>
      <c r="D1069" s="34"/>
      <c r="E1069" s="34"/>
      <c r="F1069" s="34"/>
      <c r="G1069" s="33"/>
      <c r="H1069" s="35"/>
      <c r="I1069" s="34"/>
      <c r="J1069" s="34"/>
      <c r="K1069" s="34"/>
      <c r="L1069" s="33"/>
      <c r="M1069" s="33"/>
      <c r="N1069" s="34"/>
      <c r="O1069" s="34"/>
      <c r="P1069" s="34"/>
      <c r="Q1069" s="34"/>
      <c r="R1069" s="34"/>
      <c r="S1069" s="34"/>
      <c r="T1069" s="34"/>
      <c r="U1069" s="34"/>
      <c r="V1069" s="34"/>
      <c r="W1069" s="34"/>
      <c r="X1069" s="34"/>
      <c r="Y1069" s="34"/>
      <c r="Z1069" s="34"/>
      <c r="AA1069" s="34"/>
      <c r="AB1069" s="34"/>
      <c r="AC1069" s="34"/>
      <c r="AD1069" s="34"/>
      <c r="AE1069" s="34"/>
      <c r="AF1069" s="34"/>
      <c r="AG1069" s="34"/>
      <c r="AH1069" s="34"/>
      <c r="AI1069" s="34"/>
      <c r="AJ1069" s="34"/>
      <c r="AK1069" s="34"/>
      <c r="AL1069" s="34"/>
      <c r="AM1069" s="34"/>
      <c r="AN1069" s="34"/>
      <c r="AO1069" s="34"/>
      <c r="AP1069" s="34"/>
      <c r="AQ1069" s="34"/>
      <c r="AR1069" s="34"/>
      <c r="AS1069" s="34"/>
    </row>
    <row r="1070" spans="1:45" ht="14.4">
      <c r="A1070" s="33"/>
      <c r="B1070" s="33"/>
      <c r="C1070" s="33"/>
      <c r="D1070" s="34"/>
      <c r="E1070" s="34"/>
      <c r="F1070" s="34"/>
      <c r="G1070" s="33"/>
      <c r="H1070" s="35"/>
      <c r="I1070" s="34"/>
      <c r="J1070" s="34"/>
      <c r="K1070" s="34"/>
      <c r="L1070" s="33"/>
      <c r="M1070" s="33"/>
      <c r="N1070" s="34"/>
      <c r="O1070" s="34"/>
      <c r="P1070" s="34"/>
      <c r="Q1070" s="34"/>
      <c r="R1070" s="34"/>
      <c r="S1070" s="34"/>
      <c r="T1070" s="34"/>
      <c r="U1070" s="34"/>
      <c r="V1070" s="34"/>
      <c r="W1070" s="34"/>
      <c r="X1070" s="34"/>
      <c r="Y1070" s="34"/>
      <c r="Z1070" s="34"/>
      <c r="AA1070" s="34"/>
      <c r="AB1070" s="34"/>
      <c r="AC1070" s="34"/>
      <c r="AD1070" s="34"/>
      <c r="AE1070" s="34"/>
      <c r="AF1070" s="34"/>
      <c r="AG1070" s="34"/>
      <c r="AH1070" s="34"/>
      <c r="AI1070" s="34"/>
      <c r="AJ1070" s="34"/>
      <c r="AK1070" s="34"/>
      <c r="AL1070" s="34"/>
      <c r="AM1070" s="34"/>
      <c r="AN1070" s="34"/>
      <c r="AO1070" s="34"/>
      <c r="AP1070" s="34"/>
      <c r="AQ1070" s="34"/>
      <c r="AR1070" s="34"/>
      <c r="AS1070" s="34"/>
    </row>
    <row r="1071" spans="1:45" ht="14.4">
      <c r="A1071" s="33"/>
      <c r="B1071" s="33"/>
      <c r="C1071" s="33"/>
      <c r="D1071" s="34"/>
      <c r="E1071" s="34"/>
      <c r="F1071" s="34"/>
      <c r="G1071" s="33"/>
      <c r="H1071" s="35"/>
      <c r="I1071" s="34"/>
      <c r="J1071" s="34"/>
      <c r="K1071" s="34"/>
      <c r="L1071" s="33"/>
      <c r="M1071" s="33"/>
      <c r="N1071" s="34"/>
      <c r="O1071" s="34"/>
      <c r="P1071" s="34"/>
      <c r="Q1071" s="34"/>
      <c r="R1071" s="34"/>
      <c r="S1071" s="34"/>
      <c r="T1071" s="34"/>
      <c r="U1071" s="34"/>
      <c r="V1071" s="34"/>
      <c r="W1071" s="34"/>
      <c r="X1071" s="34"/>
      <c r="Y1071" s="34"/>
      <c r="Z1071" s="34"/>
      <c r="AA1071" s="34"/>
      <c r="AB1071" s="34"/>
      <c r="AC1071" s="34"/>
      <c r="AD1071" s="34"/>
      <c r="AE1071" s="34"/>
      <c r="AF1071" s="34"/>
      <c r="AG1071" s="34"/>
      <c r="AH1071" s="34"/>
      <c r="AI1071" s="34"/>
      <c r="AJ1071" s="34"/>
      <c r="AK1071" s="34"/>
      <c r="AL1071" s="34"/>
      <c r="AM1071" s="34"/>
      <c r="AN1071" s="34"/>
      <c r="AO1071" s="34"/>
      <c r="AP1071" s="34"/>
      <c r="AQ1071" s="34"/>
      <c r="AR1071" s="34"/>
      <c r="AS1071" s="34"/>
    </row>
    <row r="1072" spans="1:45" ht="14.4">
      <c r="A1072" s="33"/>
      <c r="B1072" s="33"/>
      <c r="C1072" s="33"/>
      <c r="D1072" s="34"/>
      <c r="E1072" s="34"/>
      <c r="F1072" s="34"/>
      <c r="G1072" s="33"/>
      <c r="H1072" s="35"/>
      <c r="I1072" s="34"/>
      <c r="J1072" s="34"/>
      <c r="K1072" s="34"/>
      <c r="L1072" s="33"/>
      <c r="M1072" s="33"/>
      <c r="N1072" s="34"/>
      <c r="O1072" s="34"/>
      <c r="P1072" s="34"/>
      <c r="Q1072" s="34"/>
      <c r="R1072" s="34"/>
      <c r="S1072" s="34"/>
      <c r="T1072" s="34"/>
      <c r="U1072" s="34"/>
      <c r="V1072" s="34"/>
      <c r="W1072" s="34"/>
      <c r="X1072" s="34"/>
      <c r="Y1072" s="34"/>
      <c r="Z1072" s="34"/>
      <c r="AA1072" s="34"/>
      <c r="AB1072" s="34"/>
      <c r="AC1072" s="34"/>
      <c r="AD1072" s="34"/>
      <c r="AE1072" s="34"/>
      <c r="AF1072" s="34"/>
      <c r="AG1072" s="34"/>
      <c r="AH1072" s="34"/>
      <c r="AI1072" s="34"/>
      <c r="AJ1072" s="34"/>
      <c r="AK1072" s="34"/>
      <c r="AL1072" s="34"/>
      <c r="AM1072" s="34"/>
      <c r="AN1072" s="34"/>
      <c r="AO1072" s="34"/>
      <c r="AP1072" s="34"/>
      <c r="AQ1072" s="34"/>
      <c r="AR1072" s="34"/>
      <c r="AS1072" s="34"/>
    </row>
    <row r="1073" spans="1:45" ht="14.4">
      <c r="A1073" s="33"/>
      <c r="B1073" s="33"/>
      <c r="C1073" s="33"/>
      <c r="D1073" s="34"/>
      <c r="E1073" s="34"/>
      <c r="F1073" s="34"/>
      <c r="G1073" s="33"/>
      <c r="H1073" s="35"/>
      <c r="I1073" s="34"/>
      <c r="J1073" s="34"/>
      <c r="K1073" s="34"/>
      <c r="L1073" s="33"/>
      <c r="M1073" s="33"/>
      <c r="N1073" s="34"/>
      <c r="O1073" s="34"/>
      <c r="P1073" s="34"/>
      <c r="Q1073" s="34"/>
      <c r="R1073" s="34"/>
      <c r="S1073" s="34"/>
      <c r="T1073" s="34"/>
      <c r="U1073" s="34"/>
      <c r="V1073" s="34"/>
      <c r="W1073" s="34"/>
      <c r="X1073" s="34"/>
      <c r="Y1073" s="34"/>
      <c r="Z1073" s="34"/>
      <c r="AA1073" s="34"/>
      <c r="AB1073" s="34"/>
      <c r="AC1073" s="34"/>
      <c r="AD1073" s="34"/>
      <c r="AE1073" s="34"/>
      <c r="AF1073" s="34"/>
      <c r="AG1073" s="34"/>
      <c r="AH1073" s="34"/>
      <c r="AI1073" s="34"/>
      <c r="AJ1073" s="34"/>
      <c r="AK1073" s="34"/>
      <c r="AL1073" s="34"/>
      <c r="AM1073" s="34"/>
      <c r="AN1073" s="34"/>
      <c r="AO1073" s="34"/>
      <c r="AP1073" s="34"/>
      <c r="AQ1073" s="34"/>
      <c r="AR1073" s="34"/>
      <c r="AS1073" s="34"/>
    </row>
    <row r="1074" spans="1:45" ht="14.4">
      <c r="A1074" s="33"/>
      <c r="B1074" s="33"/>
      <c r="C1074" s="33"/>
      <c r="D1074" s="34"/>
      <c r="E1074" s="34"/>
      <c r="F1074" s="34"/>
      <c r="G1074" s="33"/>
      <c r="H1074" s="35"/>
      <c r="I1074" s="34"/>
      <c r="J1074" s="34"/>
      <c r="K1074" s="34"/>
      <c r="L1074" s="33"/>
      <c r="M1074" s="33"/>
      <c r="N1074" s="34"/>
      <c r="O1074" s="34"/>
      <c r="P1074" s="34"/>
      <c r="Q1074" s="34"/>
      <c r="R1074" s="34"/>
      <c r="S1074" s="34"/>
      <c r="T1074" s="34"/>
      <c r="U1074" s="34"/>
      <c r="V1074" s="34"/>
      <c r="W1074" s="34"/>
      <c r="X1074" s="34"/>
      <c r="Y1074" s="34"/>
      <c r="Z1074" s="34"/>
      <c r="AA1074" s="34"/>
      <c r="AB1074" s="34"/>
      <c r="AC1074" s="34"/>
      <c r="AD1074" s="34"/>
      <c r="AE1074" s="34"/>
      <c r="AF1074" s="34"/>
      <c r="AG1074" s="34"/>
      <c r="AH1074" s="34"/>
      <c r="AI1074" s="34"/>
      <c r="AJ1074" s="34"/>
      <c r="AK1074" s="34"/>
      <c r="AL1074" s="34"/>
      <c r="AM1074" s="34"/>
      <c r="AN1074" s="34"/>
      <c r="AO1074" s="34"/>
      <c r="AP1074" s="34"/>
      <c r="AQ1074" s="34"/>
      <c r="AR1074" s="34"/>
      <c r="AS1074" s="34"/>
    </row>
    <row r="1075" spans="1:45" ht="14.4">
      <c r="A1075" s="33"/>
      <c r="B1075" s="33"/>
      <c r="C1075" s="33"/>
      <c r="D1075" s="34"/>
      <c r="E1075" s="34"/>
      <c r="F1075" s="34"/>
      <c r="G1075" s="33"/>
      <c r="H1075" s="35"/>
      <c r="I1075" s="34"/>
      <c r="J1075" s="34"/>
      <c r="K1075" s="34"/>
      <c r="L1075" s="33"/>
      <c r="M1075" s="33"/>
      <c r="N1075" s="34"/>
      <c r="O1075" s="34"/>
      <c r="P1075" s="34"/>
      <c r="Q1075" s="34"/>
      <c r="R1075" s="34"/>
      <c r="S1075" s="34"/>
      <c r="T1075" s="34"/>
      <c r="U1075" s="34"/>
      <c r="V1075" s="34"/>
      <c r="W1075" s="34"/>
      <c r="X1075" s="34"/>
      <c r="Y1075" s="34"/>
      <c r="Z1075" s="34"/>
      <c r="AA1075" s="34"/>
      <c r="AB1075" s="34"/>
      <c r="AC1075" s="34"/>
      <c r="AD1075" s="34"/>
      <c r="AE1075" s="34"/>
      <c r="AF1075" s="34"/>
      <c r="AG1075" s="34"/>
      <c r="AH1075" s="34"/>
      <c r="AI1075" s="34"/>
      <c r="AJ1075" s="34"/>
      <c r="AK1075" s="34"/>
      <c r="AL1075" s="34"/>
      <c r="AM1075" s="34"/>
      <c r="AN1075" s="34"/>
      <c r="AO1075" s="34"/>
      <c r="AP1075" s="34"/>
      <c r="AQ1075" s="34"/>
      <c r="AR1075" s="34"/>
      <c r="AS1075" s="34"/>
    </row>
    <row r="1076" spans="1:45" ht="14.4">
      <c r="A1076" s="33"/>
      <c r="B1076" s="33"/>
      <c r="C1076" s="33"/>
      <c r="D1076" s="34"/>
      <c r="E1076" s="34"/>
      <c r="F1076" s="34"/>
      <c r="G1076" s="33"/>
      <c r="H1076" s="35"/>
      <c r="I1076" s="34"/>
      <c r="J1076" s="34"/>
      <c r="K1076" s="34"/>
      <c r="L1076" s="33"/>
      <c r="M1076" s="33"/>
      <c r="N1076" s="34"/>
      <c r="O1076" s="34"/>
      <c r="P1076" s="34"/>
      <c r="Q1076" s="34"/>
      <c r="R1076" s="34"/>
      <c r="S1076" s="34"/>
      <c r="T1076" s="34"/>
      <c r="U1076" s="34"/>
      <c r="V1076" s="34"/>
      <c r="W1076" s="34"/>
      <c r="X1076" s="34"/>
      <c r="Y1076" s="34"/>
      <c r="Z1076" s="34"/>
      <c r="AA1076" s="34"/>
      <c r="AB1076" s="34"/>
      <c r="AC1076" s="34"/>
      <c r="AD1076" s="34"/>
      <c r="AE1076" s="34"/>
      <c r="AF1076" s="34"/>
      <c r="AG1076" s="34"/>
      <c r="AH1076" s="34"/>
      <c r="AI1076" s="34"/>
      <c r="AJ1076" s="34"/>
      <c r="AK1076" s="34"/>
      <c r="AL1076" s="34"/>
      <c r="AM1076" s="34"/>
      <c r="AN1076" s="34"/>
      <c r="AO1076" s="34"/>
      <c r="AP1076" s="34"/>
      <c r="AQ1076" s="34"/>
      <c r="AR1076" s="34"/>
      <c r="AS1076" s="34"/>
    </row>
    <row r="1077" spans="1:45" ht="14.4">
      <c r="A1077" s="33"/>
      <c r="B1077" s="33"/>
      <c r="C1077" s="33"/>
      <c r="D1077" s="34"/>
      <c r="E1077" s="34"/>
      <c r="F1077" s="34"/>
      <c r="G1077" s="33"/>
      <c r="H1077" s="35"/>
      <c r="I1077" s="34"/>
      <c r="J1077" s="34"/>
      <c r="K1077" s="34"/>
      <c r="L1077" s="33"/>
      <c r="M1077" s="33"/>
      <c r="N1077" s="34"/>
      <c r="O1077" s="34"/>
      <c r="P1077" s="34"/>
      <c r="Q1077" s="34"/>
      <c r="R1077" s="34"/>
      <c r="S1077" s="34"/>
      <c r="T1077" s="34"/>
      <c r="U1077" s="34"/>
      <c r="V1077" s="34"/>
      <c r="W1077" s="34"/>
      <c r="X1077" s="34"/>
      <c r="Y1077" s="34"/>
      <c r="Z1077" s="34"/>
      <c r="AA1077" s="34"/>
      <c r="AB1077" s="34"/>
      <c r="AC1077" s="34"/>
      <c r="AD1077" s="34"/>
      <c r="AE1077" s="34"/>
      <c r="AF1077" s="34"/>
      <c r="AG1077" s="34"/>
      <c r="AH1077" s="34"/>
      <c r="AI1077" s="34"/>
      <c r="AJ1077" s="34"/>
      <c r="AK1077" s="34"/>
      <c r="AL1077" s="34"/>
      <c r="AM1077" s="34"/>
      <c r="AN1077" s="34"/>
      <c r="AO1077" s="34"/>
      <c r="AP1077" s="34"/>
      <c r="AQ1077" s="34"/>
      <c r="AR1077" s="34"/>
      <c r="AS1077" s="34"/>
    </row>
    <row r="1078" spans="1:45" ht="14.4">
      <c r="A1078" s="33"/>
      <c r="B1078" s="33"/>
      <c r="C1078" s="33"/>
      <c r="D1078" s="34"/>
      <c r="E1078" s="34"/>
      <c r="F1078" s="34"/>
      <c r="G1078" s="33"/>
      <c r="H1078" s="35"/>
      <c r="I1078" s="34"/>
      <c r="J1078" s="34"/>
      <c r="K1078" s="34"/>
      <c r="L1078" s="33"/>
      <c r="M1078" s="33"/>
      <c r="N1078" s="34"/>
      <c r="O1078" s="34"/>
      <c r="P1078" s="34"/>
      <c r="Q1078" s="34"/>
      <c r="R1078" s="34"/>
      <c r="S1078" s="34"/>
      <c r="T1078" s="34"/>
      <c r="U1078" s="34"/>
      <c r="V1078" s="34"/>
      <c r="W1078" s="34"/>
      <c r="X1078" s="34"/>
      <c r="Y1078" s="34"/>
      <c r="Z1078" s="34"/>
      <c r="AA1078" s="34"/>
      <c r="AB1078" s="34"/>
      <c r="AC1078" s="34"/>
      <c r="AD1078" s="34"/>
      <c r="AE1078" s="34"/>
      <c r="AF1078" s="34"/>
      <c r="AG1078" s="34"/>
      <c r="AH1078" s="34"/>
      <c r="AI1078" s="34"/>
      <c r="AJ1078" s="34"/>
      <c r="AK1078" s="34"/>
      <c r="AL1078" s="34"/>
      <c r="AM1078" s="34"/>
      <c r="AN1078" s="34"/>
      <c r="AO1078" s="34"/>
      <c r="AP1078" s="34"/>
      <c r="AQ1078" s="34"/>
      <c r="AR1078" s="34"/>
      <c r="AS1078" s="34"/>
    </row>
    <row r="1079" spans="1:45" ht="14.4">
      <c r="A1079" s="33"/>
      <c r="B1079" s="33"/>
      <c r="C1079" s="33"/>
      <c r="D1079" s="34"/>
      <c r="E1079" s="34"/>
      <c r="F1079" s="34"/>
      <c r="G1079" s="33"/>
      <c r="H1079" s="35"/>
      <c r="I1079" s="34"/>
      <c r="J1079" s="34"/>
      <c r="K1079" s="34"/>
      <c r="L1079" s="33"/>
      <c r="M1079" s="33"/>
      <c r="N1079" s="34"/>
      <c r="O1079" s="34"/>
      <c r="P1079" s="34"/>
      <c r="Q1079" s="34"/>
      <c r="R1079" s="34"/>
      <c r="S1079" s="34"/>
      <c r="T1079" s="34"/>
      <c r="U1079" s="34"/>
      <c r="V1079" s="34"/>
      <c r="W1079" s="34"/>
      <c r="X1079" s="34"/>
      <c r="Y1079" s="34"/>
      <c r="Z1079" s="34"/>
      <c r="AA1079" s="34"/>
      <c r="AB1079" s="34"/>
      <c r="AC1079" s="34"/>
      <c r="AD1079" s="34"/>
      <c r="AE1079" s="34"/>
      <c r="AF1079" s="34"/>
      <c r="AG1079" s="34"/>
      <c r="AH1079" s="34"/>
      <c r="AI1079" s="34"/>
      <c r="AJ1079" s="34"/>
      <c r="AK1079" s="34"/>
      <c r="AL1079" s="34"/>
      <c r="AM1079" s="34"/>
      <c r="AN1079" s="34"/>
      <c r="AO1079" s="34"/>
      <c r="AP1079" s="34"/>
      <c r="AQ1079" s="34"/>
      <c r="AR1079" s="34"/>
      <c r="AS1079" s="34"/>
    </row>
    <row r="1080" spans="1:45" ht="14.4">
      <c r="A1080" s="33"/>
      <c r="B1080" s="33"/>
      <c r="C1080" s="33"/>
      <c r="D1080" s="34"/>
      <c r="E1080" s="34"/>
      <c r="F1080" s="34"/>
      <c r="G1080" s="33"/>
      <c r="H1080" s="35"/>
      <c r="I1080" s="34"/>
      <c r="J1080" s="34"/>
      <c r="K1080" s="34"/>
      <c r="L1080" s="33"/>
      <c r="M1080" s="33"/>
      <c r="N1080" s="34"/>
      <c r="O1080" s="34"/>
      <c r="P1080" s="34"/>
      <c r="Q1080" s="34"/>
      <c r="R1080" s="34"/>
      <c r="S1080" s="34"/>
      <c r="T1080" s="34"/>
      <c r="U1080" s="34"/>
      <c r="V1080" s="34"/>
      <c r="W1080" s="34"/>
      <c r="X1080" s="34"/>
      <c r="Y1080" s="34"/>
      <c r="Z1080" s="34"/>
      <c r="AA1080" s="34"/>
      <c r="AB1080" s="34"/>
      <c r="AC1080" s="34"/>
      <c r="AD1080" s="34"/>
      <c r="AE1080" s="34"/>
      <c r="AF1080" s="34"/>
      <c r="AG1080" s="34"/>
      <c r="AH1080" s="34"/>
      <c r="AI1080" s="34"/>
      <c r="AJ1080" s="34"/>
      <c r="AK1080" s="34"/>
      <c r="AL1080" s="34"/>
      <c r="AM1080" s="34"/>
      <c r="AN1080" s="34"/>
      <c r="AO1080" s="34"/>
      <c r="AP1080" s="34"/>
      <c r="AQ1080" s="34"/>
      <c r="AR1080" s="34"/>
      <c r="AS1080" s="34"/>
    </row>
  </sheetData>
  <autoFilter ref="A1:AS222" xr:uid="{00000000-0009-0000-0000-000001000000}">
    <filterColumn colId="10">
      <filters>
        <filter val="Full Day"/>
      </filters>
    </filterColumn>
  </autoFilter>
  <conditionalFormatting sqref="G1:G1080">
    <cfRule type="cellIs" dxfId="0" priority="1" operator="equal">
      <formula>"BRF"</formula>
    </cfRule>
  </conditionalFormatting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F4F14"/>
  </sheetPr>
  <dimension ref="A1:AE999"/>
  <sheetViews>
    <sheetView workbookViewId="0">
      <selection activeCell="B2" sqref="B2"/>
    </sheetView>
  </sheetViews>
  <sheetFormatPr defaultColWidth="12.6640625" defaultRowHeight="15" customHeight="1"/>
  <cols>
    <col min="1" max="3" width="8.109375" customWidth="1"/>
    <col min="4" max="4" width="51" customWidth="1"/>
    <col min="5" max="6" width="13.6640625" customWidth="1"/>
    <col min="7" max="8" width="12.109375" customWidth="1"/>
    <col min="9" max="9" width="35.44140625" customWidth="1"/>
    <col min="10" max="13" width="12.88671875" customWidth="1"/>
    <col min="14" max="14" width="15.88671875" customWidth="1"/>
    <col min="15" max="19" width="12.88671875" customWidth="1"/>
    <col min="20" max="20" width="18.109375" customWidth="1"/>
    <col min="21" max="21" width="12.88671875" customWidth="1"/>
    <col min="22" max="31" width="8.6640625" customWidth="1"/>
  </cols>
  <sheetData>
    <row r="1" spans="1:31" ht="33.75" customHeight="1">
      <c r="A1" s="36" t="s">
        <v>2</v>
      </c>
      <c r="B1" s="36" t="s">
        <v>1</v>
      </c>
      <c r="C1" s="36" t="s">
        <v>676</v>
      </c>
      <c r="D1" s="36" t="s">
        <v>3</v>
      </c>
      <c r="E1" s="36" t="s">
        <v>4</v>
      </c>
      <c r="F1" s="36" t="s">
        <v>5</v>
      </c>
      <c r="G1" s="36" t="s">
        <v>76</v>
      </c>
      <c r="H1" s="36" t="s">
        <v>6</v>
      </c>
      <c r="I1" s="36" t="s">
        <v>10</v>
      </c>
      <c r="J1" s="37">
        <v>5</v>
      </c>
      <c r="K1" s="37">
        <v>5</v>
      </c>
      <c r="L1" s="37">
        <v>5</v>
      </c>
      <c r="M1" s="37">
        <v>5</v>
      </c>
      <c r="N1" s="37" t="s">
        <v>13</v>
      </c>
      <c r="O1" s="37">
        <v>5</v>
      </c>
      <c r="P1" s="37">
        <v>5</v>
      </c>
      <c r="Q1" s="37">
        <v>5</v>
      </c>
      <c r="R1" s="37">
        <v>5</v>
      </c>
      <c r="S1" s="38">
        <v>2</v>
      </c>
      <c r="T1" s="37" t="s">
        <v>14</v>
      </c>
      <c r="U1" s="39"/>
      <c r="V1" s="4">
        <f>SUM(J1:M1,O1:S1)</f>
        <v>42</v>
      </c>
      <c r="W1" s="5"/>
      <c r="X1" s="5"/>
      <c r="Y1" s="5"/>
      <c r="Z1" s="5"/>
      <c r="AA1" s="5"/>
      <c r="AB1" s="5"/>
      <c r="AC1" s="5"/>
      <c r="AD1" s="5"/>
      <c r="AE1" s="5"/>
    </row>
    <row r="2" spans="1:31" ht="14.4">
      <c r="A2" s="9" t="s">
        <v>43</v>
      </c>
      <c r="B2" s="9" t="s">
        <v>15</v>
      </c>
      <c r="C2" s="9" t="s">
        <v>414</v>
      </c>
      <c r="D2" s="9" t="s">
        <v>44</v>
      </c>
      <c r="E2" s="9" t="s">
        <v>45</v>
      </c>
      <c r="F2" s="9" t="s">
        <v>397</v>
      </c>
      <c r="G2" s="9">
        <v>3</v>
      </c>
      <c r="H2" s="9">
        <v>1</v>
      </c>
      <c r="I2" s="12" t="s">
        <v>100</v>
      </c>
      <c r="J2" s="10">
        <v>46202</v>
      </c>
      <c r="K2" s="40">
        <v>46203</v>
      </c>
      <c r="L2" s="10">
        <v>46216</v>
      </c>
      <c r="M2" s="11">
        <v>46217</v>
      </c>
      <c r="N2" s="11">
        <v>46217</v>
      </c>
      <c r="O2" s="11">
        <v>46230</v>
      </c>
      <c r="P2" s="11">
        <v>46231</v>
      </c>
      <c r="Q2" s="11">
        <v>46244</v>
      </c>
      <c r="R2" s="11">
        <v>46245</v>
      </c>
      <c r="S2" s="11">
        <v>46252</v>
      </c>
      <c r="T2" s="11">
        <v>46252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  <row r="3" spans="1:31" ht="14.4">
      <c r="A3" s="9" t="s">
        <v>43</v>
      </c>
      <c r="B3" s="9" t="s">
        <v>15</v>
      </c>
      <c r="C3" s="9" t="s">
        <v>414</v>
      </c>
      <c r="D3" s="9" t="s">
        <v>44</v>
      </c>
      <c r="E3" s="9" t="s">
        <v>45</v>
      </c>
      <c r="F3" s="9" t="s">
        <v>397</v>
      </c>
      <c r="G3" s="9">
        <v>3</v>
      </c>
      <c r="H3" s="9">
        <v>1</v>
      </c>
      <c r="I3" s="12" t="s">
        <v>398</v>
      </c>
      <c r="J3" s="10">
        <v>46202</v>
      </c>
      <c r="K3" s="40">
        <v>46203</v>
      </c>
      <c r="L3" s="10">
        <v>46216</v>
      </c>
      <c r="M3" s="11">
        <v>46217</v>
      </c>
      <c r="N3" s="11">
        <v>46217</v>
      </c>
      <c r="O3" s="11">
        <v>46230</v>
      </c>
      <c r="P3" s="11">
        <v>46231</v>
      </c>
      <c r="Q3" s="11">
        <v>46244</v>
      </c>
      <c r="R3" s="10"/>
      <c r="S3" s="10"/>
      <c r="T3" s="10"/>
      <c r="U3" s="31"/>
      <c r="V3" s="5"/>
      <c r="W3" s="5"/>
      <c r="X3" s="5"/>
      <c r="Y3" s="5"/>
      <c r="Z3" s="5"/>
      <c r="AA3" s="5"/>
      <c r="AB3" s="5"/>
      <c r="AC3" s="5"/>
      <c r="AD3" s="5"/>
      <c r="AE3" s="5"/>
    </row>
    <row r="4" spans="1:31" ht="14.4">
      <c r="A4" s="9" t="s">
        <v>49</v>
      </c>
      <c r="B4" s="9" t="s">
        <v>15</v>
      </c>
      <c r="C4" s="9" t="s">
        <v>414</v>
      </c>
      <c r="D4" s="9" t="s">
        <v>50</v>
      </c>
      <c r="E4" s="9" t="s">
        <v>51</v>
      </c>
      <c r="F4" s="9" t="s">
        <v>397</v>
      </c>
      <c r="G4" s="9">
        <v>3</v>
      </c>
      <c r="H4" s="9">
        <v>2</v>
      </c>
      <c r="I4" s="12" t="s">
        <v>52</v>
      </c>
      <c r="J4" s="10">
        <v>46204</v>
      </c>
      <c r="K4" s="10">
        <v>46205</v>
      </c>
      <c r="L4" s="10">
        <v>46218</v>
      </c>
      <c r="M4" s="10">
        <v>46219</v>
      </c>
      <c r="N4" s="10">
        <v>46219</v>
      </c>
      <c r="O4" s="10">
        <v>46232</v>
      </c>
      <c r="P4" s="10">
        <v>46233</v>
      </c>
      <c r="Q4" s="10">
        <v>46246</v>
      </c>
      <c r="R4" s="10">
        <v>46247</v>
      </c>
      <c r="S4" s="10">
        <v>46253</v>
      </c>
      <c r="T4" s="10">
        <v>46253</v>
      </c>
      <c r="U4" s="31"/>
      <c r="V4" s="5"/>
      <c r="W4" s="5"/>
      <c r="X4" s="5"/>
      <c r="Y4" s="5"/>
      <c r="Z4" s="5"/>
      <c r="AA4" s="5"/>
      <c r="AB4" s="5"/>
      <c r="AC4" s="5"/>
      <c r="AD4" s="5"/>
      <c r="AE4" s="5"/>
    </row>
    <row r="5" spans="1:31" ht="14.25" customHeight="1">
      <c r="A5" s="9" t="s">
        <v>49</v>
      </c>
      <c r="B5" s="9" t="s">
        <v>15</v>
      </c>
      <c r="C5" s="9" t="s">
        <v>414</v>
      </c>
      <c r="D5" s="9" t="s">
        <v>50</v>
      </c>
      <c r="E5" s="9" t="s">
        <v>51</v>
      </c>
      <c r="F5" s="9" t="s">
        <v>397</v>
      </c>
      <c r="G5" s="9">
        <v>3</v>
      </c>
      <c r="H5" s="9">
        <v>2</v>
      </c>
      <c r="I5" s="12" t="s">
        <v>399</v>
      </c>
      <c r="J5" s="10">
        <v>46204</v>
      </c>
      <c r="K5" s="10">
        <v>46205</v>
      </c>
      <c r="L5" s="10">
        <v>46218</v>
      </c>
      <c r="M5" s="10">
        <v>46219</v>
      </c>
      <c r="N5" s="10">
        <v>46219</v>
      </c>
      <c r="O5" s="10">
        <v>46232</v>
      </c>
      <c r="P5" s="10">
        <v>46233</v>
      </c>
      <c r="Q5" s="10">
        <v>46246</v>
      </c>
      <c r="R5" s="11"/>
      <c r="S5" s="11"/>
      <c r="T5" s="11"/>
      <c r="U5" s="41"/>
      <c r="V5" s="5"/>
      <c r="W5" s="5"/>
      <c r="X5" s="5"/>
      <c r="Y5" s="5"/>
      <c r="Z5" s="5"/>
      <c r="AA5" s="5"/>
      <c r="AB5" s="5"/>
      <c r="AC5" s="5"/>
      <c r="AD5" s="5"/>
      <c r="AE5" s="5"/>
    </row>
    <row r="6" spans="1:31" ht="14.25" customHeight="1">
      <c r="A6" s="24" t="s">
        <v>54</v>
      </c>
      <c r="B6" s="9" t="s">
        <v>15</v>
      </c>
      <c r="C6" s="9" t="s">
        <v>414</v>
      </c>
      <c r="D6" s="24" t="s">
        <v>55</v>
      </c>
      <c r="E6" s="24"/>
      <c r="F6" s="24" t="s">
        <v>397</v>
      </c>
      <c r="G6" s="24">
        <v>3</v>
      </c>
      <c r="H6" s="24"/>
      <c r="I6" s="24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5" t="s">
        <v>56</v>
      </c>
      <c r="V6" s="5"/>
      <c r="W6" s="5"/>
      <c r="X6" s="5"/>
      <c r="Y6" s="5"/>
      <c r="Z6" s="5"/>
      <c r="AA6" s="5"/>
      <c r="AB6" s="5"/>
      <c r="AC6" s="5"/>
      <c r="AD6" s="5"/>
      <c r="AE6" s="5"/>
    </row>
    <row r="7" spans="1:31" ht="14.25" customHeight="1">
      <c r="A7" s="24" t="s">
        <v>54</v>
      </c>
      <c r="B7" s="9" t="s">
        <v>15</v>
      </c>
      <c r="C7" s="9" t="s">
        <v>414</v>
      </c>
      <c r="D7" s="24" t="s">
        <v>55</v>
      </c>
      <c r="E7" s="24"/>
      <c r="F7" s="24" t="s">
        <v>397</v>
      </c>
      <c r="G7" s="24">
        <v>3</v>
      </c>
      <c r="H7" s="24"/>
      <c r="I7" s="24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41"/>
      <c r="V7" s="5" t="str">
        <f t="shared" ref="V7:V29" si="0">A7 &amp; " " &amp; D7</f>
        <v>MMXXXX Elective Course Based on Stream</v>
      </c>
      <c r="W7" s="5"/>
      <c r="X7" s="5"/>
      <c r="Y7" s="5"/>
      <c r="Z7" s="5"/>
      <c r="AA7" s="5"/>
      <c r="AB7" s="5"/>
      <c r="AC7" s="5"/>
      <c r="AD7" s="5"/>
      <c r="AE7" s="5"/>
    </row>
    <row r="8" spans="1:31" ht="14.25" customHeight="1">
      <c r="A8" s="9"/>
      <c r="B8" s="9"/>
      <c r="C8" s="9"/>
      <c r="D8" s="9"/>
      <c r="E8" s="9"/>
      <c r="F8" s="9"/>
      <c r="G8" s="9"/>
      <c r="H8" s="9"/>
      <c r="I8" s="12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41"/>
      <c r="V8" s="5" t="str">
        <f t="shared" si="0"/>
        <v xml:space="preserve"> </v>
      </c>
      <c r="W8" s="5"/>
      <c r="X8" s="5"/>
      <c r="Y8" s="5"/>
      <c r="Z8" s="5"/>
      <c r="AA8" s="5"/>
      <c r="AB8" s="5"/>
      <c r="AC8" s="5"/>
      <c r="AD8" s="5"/>
      <c r="AE8" s="5"/>
    </row>
    <row r="9" spans="1:31" ht="14.25" customHeight="1">
      <c r="A9" s="9"/>
      <c r="B9" s="9"/>
      <c r="C9" s="9"/>
      <c r="D9" s="9"/>
      <c r="E9" s="9"/>
      <c r="F9" s="9"/>
      <c r="G9" s="9"/>
      <c r="H9" s="9"/>
      <c r="I9" s="12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41"/>
      <c r="V9" s="5" t="str">
        <f t="shared" si="0"/>
        <v xml:space="preserve"> </v>
      </c>
      <c r="W9" s="5"/>
      <c r="X9" s="5"/>
      <c r="Y9" s="5"/>
      <c r="Z9" s="5"/>
      <c r="AA9" s="5"/>
      <c r="AB9" s="5"/>
      <c r="AC9" s="5"/>
      <c r="AD9" s="5"/>
      <c r="AE9" s="5"/>
    </row>
    <row r="10" spans="1:31" ht="14.25" customHeight="1">
      <c r="A10" s="9"/>
      <c r="B10" s="9"/>
      <c r="C10" s="9"/>
      <c r="D10" s="9"/>
      <c r="E10" s="9"/>
      <c r="F10" s="9"/>
      <c r="G10" s="9"/>
      <c r="H10" s="9"/>
      <c r="I10" s="12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41"/>
      <c r="V10" s="5" t="str">
        <f t="shared" si="0"/>
        <v xml:space="preserve"> </v>
      </c>
      <c r="W10" s="5"/>
      <c r="X10" s="5"/>
      <c r="Y10" s="5"/>
      <c r="Z10" s="5"/>
      <c r="AA10" s="5"/>
      <c r="AB10" s="5"/>
      <c r="AC10" s="5"/>
      <c r="AD10" s="5"/>
      <c r="AE10" s="5"/>
    </row>
    <row r="11" spans="1:31" ht="14.25" customHeight="1">
      <c r="A11" s="9"/>
      <c r="B11" s="9"/>
      <c r="C11" s="9"/>
      <c r="D11" s="9"/>
      <c r="E11" s="9"/>
      <c r="F11" s="9"/>
      <c r="G11" s="9"/>
      <c r="H11" s="9"/>
      <c r="I11" s="12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41"/>
      <c r="V11" s="5" t="str">
        <f t="shared" si="0"/>
        <v xml:space="preserve"> </v>
      </c>
      <c r="W11" s="5"/>
      <c r="X11" s="5"/>
      <c r="Y11" s="5"/>
      <c r="Z11" s="5"/>
      <c r="AA11" s="5"/>
      <c r="AB11" s="5"/>
      <c r="AC11" s="5"/>
      <c r="AD11" s="5"/>
      <c r="AE11" s="5"/>
    </row>
    <row r="12" spans="1:31" ht="14.25" customHeight="1">
      <c r="A12" s="9"/>
      <c r="B12" s="9"/>
      <c r="C12" s="9"/>
      <c r="D12" s="9"/>
      <c r="E12" s="9"/>
      <c r="F12" s="9"/>
      <c r="G12" s="9"/>
      <c r="H12" s="9"/>
      <c r="I12" s="12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41"/>
      <c r="V12" s="5" t="str">
        <f t="shared" si="0"/>
        <v xml:space="preserve"> </v>
      </c>
      <c r="W12" s="5"/>
      <c r="X12" s="5"/>
      <c r="Y12" s="5"/>
      <c r="Z12" s="5"/>
      <c r="AA12" s="5"/>
      <c r="AB12" s="5"/>
      <c r="AC12" s="5"/>
      <c r="AD12" s="5"/>
      <c r="AE12" s="5"/>
    </row>
    <row r="13" spans="1:31" ht="14.25" customHeight="1">
      <c r="A13" s="9"/>
      <c r="B13" s="9"/>
      <c r="C13" s="9"/>
      <c r="D13" s="9"/>
      <c r="E13" s="9"/>
      <c r="F13" s="9"/>
      <c r="G13" s="9"/>
      <c r="H13" s="9"/>
      <c r="I13" s="9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41"/>
      <c r="V13" s="5" t="str">
        <f t="shared" si="0"/>
        <v xml:space="preserve"> </v>
      </c>
      <c r="W13" s="5"/>
      <c r="X13" s="5"/>
      <c r="Y13" s="5"/>
      <c r="Z13" s="5"/>
      <c r="AA13" s="5"/>
      <c r="AB13" s="5"/>
      <c r="AC13" s="5"/>
      <c r="AD13" s="5"/>
      <c r="AE13" s="5"/>
    </row>
    <row r="14" spans="1:31" ht="14.25" customHeight="1">
      <c r="A14" s="9"/>
      <c r="B14" s="9"/>
      <c r="C14" s="9"/>
      <c r="D14" s="9"/>
      <c r="E14" s="9"/>
      <c r="F14" s="9"/>
      <c r="G14" s="9"/>
      <c r="H14" s="9"/>
      <c r="I14" s="9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41"/>
      <c r="V14" s="5" t="str">
        <f t="shared" si="0"/>
        <v xml:space="preserve"> </v>
      </c>
      <c r="W14" s="5"/>
      <c r="X14" s="5"/>
      <c r="Y14" s="5"/>
      <c r="Z14" s="5"/>
      <c r="AA14" s="5"/>
      <c r="AB14" s="5"/>
      <c r="AC14" s="5"/>
      <c r="AD14" s="5"/>
      <c r="AE14" s="5"/>
    </row>
    <row r="15" spans="1:31" ht="14.25" customHeight="1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5"/>
      <c r="V15" s="5" t="str">
        <f t="shared" si="0"/>
        <v xml:space="preserve"> </v>
      </c>
      <c r="W15" s="5"/>
      <c r="X15" s="5"/>
      <c r="Y15" s="5"/>
      <c r="Z15" s="5"/>
      <c r="AA15" s="5"/>
      <c r="AB15" s="5"/>
      <c r="AC15" s="5"/>
      <c r="AD15" s="5"/>
      <c r="AE15" s="5"/>
    </row>
    <row r="16" spans="1:31" ht="14.25" customHeight="1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5"/>
      <c r="V16" s="5" t="str">
        <f t="shared" si="0"/>
        <v xml:space="preserve"> </v>
      </c>
      <c r="W16" s="5"/>
      <c r="X16" s="5"/>
      <c r="Y16" s="5"/>
      <c r="Z16" s="5"/>
      <c r="AA16" s="5"/>
      <c r="AB16" s="5"/>
      <c r="AC16" s="5"/>
      <c r="AD16" s="5"/>
      <c r="AE16" s="5"/>
    </row>
    <row r="17" spans="1:31" ht="14.25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5"/>
      <c r="V17" s="5" t="str">
        <f t="shared" si="0"/>
        <v xml:space="preserve"> </v>
      </c>
      <c r="W17" s="5"/>
      <c r="X17" s="5"/>
      <c r="Y17" s="5"/>
      <c r="Z17" s="5"/>
      <c r="AA17" s="5"/>
      <c r="AB17" s="5"/>
      <c r="AC17" s="5"/>
      <c r="AD17" s="5"/>
      <c r="AE17" s="5"/>
    </row>
    <row r="18" spans="1:31" ht="14.25" customHeight="1">
      <c r="A18" s="9"/>
      <c r="B18" s="9"/>
      <c r="C18" s="9"/>
      <c r="D18" s="9"/>
      <c r="E18" s="9"/>
      <c r="F18" s="9"/>
      <c r="G18" s="9"/>
      <c r="H18" s="9"/>
      <c r="I18" s="12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41"/>
      <c r="V18" s="5" t="str">
        <f t="shared" si="0"/>
        <v xml:space="preserve"> </v>
      </c>
      <c r="W18" s="5"/>
      <c r="X18" s="5"/>
      <c r="Y18" s="5"/>
      <c r="Z18" s="5"/>
      <c r="AA18" s="5"/>
      <c r="AB18" s="5"/>
      <c r="AC18" s="5"/>
      <c r="AD18" s="5"/>
      <c r="AE18" s="5"/>
    </row>
    <row r="19" spans="1:31" ht="14.25" customHeight="1">
      <c r="A19" s="9"/>
      <c r="B19" s="9"/>
      <c r="C19" s="9"/>
      <c r="D19" s="9"/>
      <c r="E19" s="9"/>
      <c r="F19" s="9"/>
      <c r="G19" s="9"/>
      <c r="H19" s="9"/>
      <c r="I19" s="12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41"/>
      <c r="V19" s="5" t="str">
        <f t="shared" si="0"/>
        <v xml:space="preserve"> </v>
      </c>
      <c r="W19" s="5"/>
      <c r="X19" s="5"/>
      <c r="Y19" s="5"/>
      <c r="Z19" s="5"/>
      <c r="AA19" s="5"/>
      <c r="AB19" s="5"/>
      <c r="AC19" s="5"/>
      <c r="AD19" s="5"/>
      <c r="AE19" s="5"/>
    </row>
    <row r="20" spans="1:31" ht="14.25" customHeight="1">
      <c r="A20" s="9"/>
      <c r="B20" s="9"/>
      <c r="C20" s="9"/>
      <c r="D20" s="9"/>
      <c r="E20" s="9"/>
      <c r="F20" s="9"/>
      <c r="G20" s="9"/>
      <c r="H20" s="9"/>
      <c r="I20" s="12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41"/>
      <c r="V20" s="5" t="str">
        <f t="shared" si="0"/>
        <v xml:space="preserve"> </v>
      </c>
      <c r="W20" s="5"/>
      <c r="X20" s="5"/>
      <c r="Y20" s="5"/>
      <c r="Z20" s="5"/>
      <c r="AA20" s="5"/>
      <c r="AB20" s="5"/>
      <c r="AC20" s="5"/>
      <c r="AD20" s="5"/>
      <c r="AE20" s="5"/>
    </row>
    <row r="21" spans="1:31" ht="14.25" customHeight="1">
      <c r="A21" s="9"/>
      <c r="B21" s="9"/>
      <c r="C21" s="9"/>
      <c r="D21" s="9"/>
      <c r="E21" s="9"/>
      <c r="F21" s="9"/>
      <c r="G21" s="9"/>
      <c r="H21" s="9"/>
      <c r="I21" s="12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41"/>
      <c r="V21" s="5" t="str">
        <f t="shared" si="0"/>
        <v xml:space="preserve"> </v>
      </c>
      <c r="W21" s="5"/>
      <c r="X21" s="5"/>
      <c r="Y21" s="5"/>
      <c r="Z21" s="5"/>
      <c r="AA21" s="5"/>
      <c r="AB21" s="5"/>
      <c r="AC21" s="5"/>
      <c r="AD21" s="5"/>
      <c r="AE21" s="5"/>
    </row>
    <row r="22" spans="1:31" ht="14.25" customHeight="1">
      <c r="A22" s="9"/>
      <c r="B22" s="9"/>
      <c r="C22" s="9"/>
      <c r="D22" s="9"/>
      <c r="E22" s="9"/>
      <c r="F22" s="9"/>
      <c r="G22" s="9"/>
      <c r="H22" s="9"/>
      <c r="I22" s="12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41"/>
      <c r="V22" s="5" t="str">
        <f t="shared" si="0"/>
        <v xml:space="preserve"> </v>
      </c>
      <c r="W22" s="5"/>
      <c r="X22" s="5"/>
      <c r="Y22" s="5"/>
      <c r="Z22" s="5"/>
      <c r="AA22" s="5"/>
      <c r="AB22" s="5"/>
      <c r="AC22" s="5"/>
      <c r="AD22" s="5"/>
      <c r="AE22" s="5"/>
    </row>
    <row r="23" spans="1:31" ht="14.25" customHeight="1">
      <c r="A23" s="9"/>
      <c r="B23" s="9"/>
      <c r="C23" s="9"/>
      <c r="D23" s="9"/>
      <c r="E23" s="9"/>
      <c r="F23" s="9"/>
      <c r="G23" s="9"/>
      <c r="H23" s="9"/>
      <c r="I23" s="12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41"/>
      <c r="V23" s="5" t="str">
        <f t="shared" si="0"/>
        <v xml:space="preserve"> </v>
      </c>
      <c r="W23" s="5"/>
      <c r="X23" s="5"/>
      <c r="Y23" s="5"/>
      <c r="Z23" s="5"/>
      <c r="AA23" s="5"/>
      <c r="AB23" s="5"/>
      <c r="AC23" s="5"/>
      <c r="AD23" s="5"/>
      <c r="AE23" s="5"/>
    </row>
    <row r="24" spans="1:31" ht="14.25" customHeight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5"/>
      <c r="V24" s="5" t="str">
        <f t="shared" si="0"/>
        <v xml:space="preserve"> </v>
      </c>
      <c r="W24" s="5"/>
      <c r="X24" s="5"/>
      <c r="Y24" s="5"/>
      <c r="Z24" s="5"/>
      <c r="AA24" s="5"/>
      <c r="AB24" s="5"/>
      <c r="AC24" s="5"/>
      <c r="AD24" s="5"/>
      <c r="AE24" s="5"/>
    </row>
    <row r="25" spans="1:31" ht="14.25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5"/>
      <c r="V25" s="5" t="str">
        <f t="shared" si="0"/>
        <v xml:space="preserve"> </v>
      </c>
      <c r="W25" s="5"/>
      <c r="X25" s="5"/>
      <c r="Y25" s="5"/>
      <c r="Z25" s="5"/>
      <c r="AA25" s="5"/>
      <c r="AB25" s="5"/>
      <c r="AC25" s="5"/>
      <c r="AD25" s="5"/>
      <c r="AE25" s="5"/>
    </row>
    <row r="26" spans="1:31" ht="14.25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5"/>
      <c r="V26" s="5" t="str">
        <f t="shared" si="0"/>
        <v xml:space="preserve"> </v>
      </c>
      <c r="W26" s="5"/>
      <c r="X26" s="5"/>
      <c r="Y26" s="5"/>
      <c r="Z26" s="5"/>
      <c r="AA26" s="5"/>
      <c r="AB26" s="5"/>
      <c r="AC26" s="5"/>
      <c r="AD26" s="5"/>
      <c r="AE26" s="5"/>
    </row>
    <row r="27" spans="1:31" ht="14.25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5"/>
      <c r="V27" s="5" t="str">
        <f t="shared" si="0"/>
        <v xml:space="preserve"> </v>
      </c>
      <c r="W27" s="5"/>
      <c r="X27" s="5"/>
      <c r="Y27" s="5"/>
      <c r="Z27" s="5"/>
      <c r="AA27" s="5"/>
      <c r="AB27" s="5"/>
      <c r="AC27" s="5"/>
      <c r="AD27" s="5"/>
      <c r="AE27" s="5"/>
    </row>
    <row r="28" spans="1:31" ht="14.25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5"/>
      <c r="V28" s="5" t="str">
        <f t="shared" si="0"/>
        <v xml:space="preserve"> </v>
      </c>
      <c r="W28" s="5"/>
      <c r="X28" s="5"/>
      <c r="Y28" s="5"/>
      <c r="Z28" s="5"/>
      <c r="AA28" s="5"/>
      <c r="AB28" s="5"/>
      <c r="AC28" s="5"/>
      <c r="AD28" s="5"/>
      <c r="AE28" s="5"/>
    </row>
    <row r="29" spans="1:31" ht="14.2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5"/>
      <c r="V29" s="5" t="str">
        <f t="shared" si="0"/>
        <v xml:space="preserve"> </v>
      </c>
      <c r="W29" s="5"/>
      <c r="X29" s="5"/>
      <c r="Y29" s="5"/>
      <c r="Z29" s="5"/>
      <c r="AA29" s="5"/>
      <c r="AB29" s="5"/>
      <c r="AC29" s="5"/>
      <c r="AD29" s="5"/>
      <c r="AE29" s="5"/>
    </row>
    <row r="30" spans="1:31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</row>
    <row r="31" spans="1: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</row>
    <row r="32" spans="1:31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</row>
    <row r="33" spans="1:31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</row>
    <row r="34" spans="1:31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 spans="1:31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</row>
    <row r="36" spans="1:31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</row>
    <row r="37" spans="1:31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</row>
    <row r="38" spans="1:31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</row>
    <row r="39" spans="1:31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</row>
    <row r="40" spans="1:31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</row>
    <row r="41" spans="1:3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</row>
    <row r="42" spans="1:31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 spans="1:31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</row>
    <row r="44" spans="1:31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 spans="1:31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</row>
    <row r="46" spans="1:31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</row>
    <row r="47" spans="1:31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</row>
    <row r="48" spans="1:31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</row>
    <row r="49" spans="1:31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 spans="1:31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</row>
    <row r="51" spans="1:3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</row>
    <row r="52" spans="1:31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</row>
    <row r="53" spans="1:31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 spans="1:31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 spans="1:31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 spans="1:31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</row>
    <row r="57" spans="1:31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</row>
    <row r="58" spans="1:31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</row>
    <row r="59" spans="1:31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</row>
    <row r="60" spans="1:31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</row>
    <row r="61" spans="1:3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</row>
    <row r="62" spans="1:31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</row>
    <row r="63" spans="1:31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</row>
    <row r="64" spans="1:31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 spans="1:31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</row>
    <row r="66" spans="1:31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</row>
    <row r="67" spans="1:31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</row>
    <row r="68" spans="1:31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</row>
    <row r="69" spans="1:31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</row>
    <row r="70" spans="1:31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</row>
    <row r="71" spans="1:3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</row>
    <row r="72" spans="1:31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</row>
    <row r="73" spans="1:31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</row>
    <row r="74" spans="1:31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 spans="1:31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</row>
    <row r="76" spans="1:31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 spans="1:31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</row>
    <row r="78" spans="1:31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</row>
    <row r="79" spans="1:31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</row>
    <row r="80" spans="1:31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</row>
    <row r="81" spans="1:3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</row>
    <row r="82" spans="1:31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</row>
    <row r="83" spans="1:31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</row>
    <row r="84" spans="1:31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</row>
    <row r="85" spans="1:31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</row>
    <row r="86" spans="1:31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</row>
    <row r="87" spans="1:31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</row>
    <row r="88" spans="1:31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</row>
    <row r="89" spans="1:31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</row>
    <row r="90" spans="1:31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</row>
    <row r="91" spans="1:3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</row>
    <row r="92" spans="1:31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</row>
    <row r="93" spans="1:31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</row>
    <row r="94" spans="1:31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 spans="1:31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</row>
    <row r="96" spans="1:31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</row>
    <row r="97" spans="1:31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</row>
    <row r="98" spans="1:31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</row>
    <row r="99" spans="1:31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 spans="1:31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r="101" spans="1:3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r="102" spans="1:31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r="103" spans="1:31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r="104" spans="1:31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 spans="1:31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r="106" spans="1:31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r="107" spans="1:31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r="108" spans="1:31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r="109" spans="1:31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r="110" spans="1:31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r="111" spans="1:3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r="112" spans="1:31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r="113" spans="1:31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r="114" spans="1:31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 spans="1:31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 spans="1:31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</row>
    <row r="117" spans="1:31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</row>
    <row r="118" spans="1:31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</row>
    <row r="119" spans="1:31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r="120" spans="1:31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r="121" spans="1:3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r="122" spans="1:31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r="123" spans="1:31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r="124" spans="1:31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 spans="1:31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 spans="1:31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r="127" spans="1:31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r="128" spans="1:31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 spans="1:31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r="130" spans="1:31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r="131" spans="1: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r="132" spans="1:31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r="133" spans="1:31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r="134" spans="1:31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 spans="1:31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r="136" spans="1:31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</row>
    <row r="137" spans="1:31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r="138" spans="1:31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r="139" spans="1:31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r="140" spans="1:31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r="141" spans="1:3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r="142" spans="1:31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r="143" spans="1:31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r="144" spans="1:31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 spans="1:31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</row>
    <row r="146" spans="1:31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 spans="1:31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</row>
    <row r="148" spans="1:31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</row>
    <row r="149" spans="1:31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 spans="1:31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r="151" spans="1:3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r="152" spans="1:31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r="153" spans="1:31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r="154" spans="1:31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r="155" spans="1:31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r="156" spans="1:31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r="157" spans="1:31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r="158" spans="1:31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r="159" spans="1:31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r="160" spans="1:31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 spans="1:3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 spans="1:31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 spans="1:31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 spans="1:31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 spans="1:31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r="166" spans="1:31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 spans="1:31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r="168" spans="1:31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</row>
    <row r="169" spans="1:31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r="170" spans="1:31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r="171" spans="1:3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r="172" spans="1:31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r="173" spans="1:31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r="174" spans="1:31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r="175" spans="1:31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r="176" spans="1:31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r="177" spans="1:31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r="178" spans="1:31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r="179" spans="1:31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r="180" spans="1:31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r="181" spans="1:3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r="182" spans="1:31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r="183" spans="1:31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r="184" spans="1:31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r="185" spans="1:31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r="186" spans="1:31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r="187" spans="1:31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r="188" spans="1:31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r="189" spans="1:31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r="190" spans="1:31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r="191" spans="1:3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r="192" spans="1:31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r="193" spans="1:31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r="194" spans="1:31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r="195" spans="1:31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r="196" spans="1:31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r="197" spans="1:31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r="198" spans="1:31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r="199" spans="1:31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r="200" spans="1:31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</row>
    <row r="201" spans="1:3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</row>
    <row r="202" spans="1:31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</row>
    <row r="203" spans="1:31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</row>
    <row r="204" spans="1:31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</row>
    <row r="205" spans="1:31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</row>
    <row r="206" spans="1:31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</row>
    <row r="207" spans="1:31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</row>
    <row r="208" spans="1:31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r="209" spans="1:31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r="210" spans="1:31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r="211" spans="1:3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r="212" spans="1:31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r="213" spans="1:31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r="214" spans="1:31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r="215" spans="1:31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r="216" spans="1:31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r="217" spans="1:31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r="218" spans="1:31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r="219" spans="1:31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r="220" spans="1:31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r="221" spans="1:3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</row>
    <row r="222" spans="1:31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</row>
    <row r="223" spans="1:31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</row>
    <row r="224" spans="1:31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</row>
    <row r="225" spans="1:31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</row>
    <row r="226" spans="1:31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</row>
    <row r="227" spans="1:31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</row>
    <row r="228" spans="1:31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</row>
    <row r="229" spans="1:31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</row>
    <row r="230" spans="1:31" ht="15.75" customHeight="1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</row>
    <row r="231" spans="1:31" ht="15.75" customHeight="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</row>
    <row r="232" spans="1:31" ht="15.75" customHeight="1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</row>
    <row r="233" spans="1:31" ht="15.75" customHeight="1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</row>
    <row r="234" spans="1:31" ht="15.75" customHeight="1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</row>
    <row r="235" spans="1:31" ht="15.75" customHeight="1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</row>
    <row r="236" spans="1:31" ht="15.75" customHeight="1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</row>
    <row r="237" spans="1:31" ht="15.75" customHeight="1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</row>
    <row r="238" spans="1:31" ht="15.75" customHeight="1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</row>
    <row r="239" spans="1:31" ht="15.75" customHeight="1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</row>
    <row r="240" spans="1:31" ht="15.75" customHeight="1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</row>
    <row r="241" spans="1:31" ht="15.75" customHeight="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</row>
    <row r="242" spans="1:31" ht="15.75" customHeight="1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</row>
    <row r="243" spans="1:31" ht="15.75" customHeight="1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</row>
    <row r="244" spans="1:31" ht="15.75" customHeight="1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</row>
    <row r="245" spans="1:31" ht="15.75" customHeight="1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</row>
    <row r="246" spans="1:31" ht="15.75" customHeight="1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</row>
    <row r="247" spans="1:31" ht="15.75" customHeight="1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</row>
    <row r="248" spans="1:31" ht="15.75" customHeight="1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</row>
    <row r="249" spans="1:31" ht="15.75" customHeight="1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</row>
    <row r="250" spans="1:31" ht="15.75" customHeight="1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</row>
    <row r="251" spans="1:31" ht="15.75" customHeight="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</row>
    <row r="252" spans="1:31" ht="15.75" customHeight="1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</row>
    <row r="253" spans="1:31" ht="15.75" customHeight="1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</row>
    <row r="254" spans="1:31" ht="15.75" customHeight="1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</row>
    <row r="255" spans="1:31" ht="15.75" customHeight="1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</row>
    <row r="256" spans="1:31" ht="15.75" customHeight="1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</row>
    <row r="257" spans="1:31" ht="15.75" customHeight="1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</row>
    <row r="258" spans="1:31" ht="15.75" customHeight="1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</row>
    <row r="259" spans="1:31" ht="15.75" customHeight="1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</row>
    <row r="260" spans="1:31" ht="15.75" customHeight="1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</row>
    <row r="261" spans="1:31" ht="15.75" customHeight="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</row>
    <row r="262" spans="1:31" ht="15.75" customHeight="1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</row>
    <row r="263" spans="1:31" ht="15.75" customHeight="1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</row>
    <row r="264" spans="1:31" ht="15.75" customHeight="1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</row>
    <row r="265" spans="1:31" ht="15.75" customHeight="1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</row>
    <row r="266" spans="1:31" ht="15.75" customHeight="1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</row>
    <row r="267" spans="1:31" ht="15.75" customHeight="1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</row>
    <row r="268" spans="1:31" ht="15.75" customHeight="1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</row>
    <row r="269" spans="1:31" ht="15.75" customHeight="1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</row>
    <row r="270" spans="1:31" ht="15.75" customHeight="1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</row>
    <row r="271" spans="1:31" ht="15.75" customHeight="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</row>
    <row r="272" spans="1:31" ht="15.75" customHeight="1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</row>
    <row r="273" spans="1:31" ht="15.75" customHeight="1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</row>
    <row r="274" spans="1:31" ht="15.75" customHeight="1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</row>
    <row r="275" spans="1:31" ht="15.75" customHeight="1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</row>
    <row r="276" spans="1:31" ht="15.75" customHeight="1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</row>
    <row r="277" spans="1:31" ht="15.75" customHeight="1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</row>
    <row r="278" spans="1:31" ht="15.75" customHeight="1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</row>
    <row r="279" spans="1:31" ht="15.75" customHeight="1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</row>
    <row r="280" spans="1:31" ht="15.75" customHeight="1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</row>
    <row r="281" spans="1:31" ht="15.75" customHeight="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</row>
    <row r="282" spans="1:31" ht="15.75" customHeight="1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</row>
    <row r="283" spans="1:31" ht="15.75" customHeight="1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</row>
    <row r="284" spans="1:31" ht="15.75" customHeight="1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</row>
    <row r="285" spans="1:31" ht="15.75" customHeight="1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</row>
    <row r="286" spans="1:31" ht="15.75" customHeight="1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</row>
    <row r="287" spans="1:31" ht="15.75" customHeight="1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</row>
    <row r="288" spans="1:31" ht="15.75" customHeight="1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</row>
    <row r="289" spans="1:31" ht="15.75" customHeight="1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</row>
    <row r="290" spans="1:31" ht="15.75" customHeight="1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</row>
    <row r="291" spans="1:31" ht="15.75" customHeight="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</row>
    <row r="292" spans="1:31" ht="15.75" customHeight="1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</row>
    <row r="293" spans="1:31" ht="15.75" customHeight="1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</row>
    <row r="294" spans="1:31" ht="15.75" customHeight="1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</row>
    <row r="295" spans="1:31" ht="15.75" customHeight="1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</row>
    <row r="296" spans="1:31" ht="15.75" customHeight="1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</row>
    <row r="297" spans="1:31" ht="15.75" customHeight="1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</row>
    <row r="298" spans="1:31" ht="15.75" customHeight="1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</row>
    <row r="299" spans="1:31" ht="15.75" customHeight="1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</row>
    <row r="300" spans="1:31" ht="15.75" customHeight="1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</row>
    <row r="301" spans="1:31" ht="15.75" customHeight="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</row>
    <row r="302" spans="1:31" ht="15.75" customHeight="1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</row>
    <row r="303" spans="1:31" ht="15.75" customHeight="1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</row>
    <row r="304" spans="1:31" ht="15.75" customHeight="1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</row>
    <row r="305" spans="1:31" ht="15.75" customHeight="1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</row>
    <row r="306" spans="1:31" ht="15.75" customHeight="1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</row>
    <row r="307" spans="1:31" ht="15.75" customHeight="1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</row>
    <row r="308" spans="1:31" ht="15.75" customHeight="1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</row>
    <row r="309" spans="1:31" ht="15.75" customHeight="1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</row>
    <row r="310" spans="1:31" ht="15.75" customHeight="1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</row>
    <row r="311" spans="1:31" ht="15.75" customHeight="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</row>
    <row r="312" spans="1:31" ht="15.75" customHeight="1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</row>
    <row r="313" spans="1:31" ht="15.75" customHeight="1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</row>
    <row r="314" spans="1:31" ht="15.75" customHeight="1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</row>
    <row r="315" spans="1:31" ht="15.75" customHeight="1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</row>
    <row r="316" spans="1:31" ht="15.75" customHeight="1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</row>
    <row r="317" spans="1:31" ht="15.75" customHeight="1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</row>
    <row r="318" spans="1:31" ht="15.75" customHeight="1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</row>
    <row r="319" spans="1:31" ht="15.75" customHeight="1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</row>
    <row r="320" spans="1:31" ht="15.75" customHeight="1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</row>
    <row r="321" spans="1:31" ht="15.75" customHeight="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</row>
    <row r="322" spans="1:31" ht="15.75" customHeight="1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</row>
    <row r="323" spans="1:31" ht="15.75" customHeight="1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</row>
    <row r="324" spans="1:31" ht="15.75" customHeight="1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</row>
    <row r="325" spans="1:31" ht="15.75" customHeight="1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</row>
    <row r="326" spans="1:31" ht="15.75" customHeight="1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</row>
    <row r="327" spans="1:31" ht="15.75" customHeight="1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</row>
    <row r="328" spans="1:31" ht="15.75" customHeight="1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</row>
    <row r="329" spans="1:31" ht="15.75" customHeight="1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</row>
    <row r="330" spans="1:31" ht="15.75" customHeight="1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</row>
    <row r="331" spans="1:31" ht="15.75" customHeight="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</row>
    <row r="332" spans="1:31" ht="15.75" customHeight="1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</row>
    <row r="333" spans="1:31" ht="15.75" customHeight="1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</row>
    <row r="334" spans="1:31" ht="15.75" customHeight="1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</row>
    <row r="335" spans="1:31" ht="15.75" customHeight="1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</row>
    <row r="336" spans="1:31" ht="15.75" customHeight="1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</row>
    <row r="337" spans="1:31" ht="15.75" customHeight="1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</row>
    <row r="338" spans="1:31" ht="15.75" customHeight="1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</row>
    <row r="339" spans="1:31" ht="15.75" customHeight="1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</row>
    <row r="340" spans="1:31" ht="15.75" customHeight="1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</row>
    <row r="341" spans="1:31" ht="15.75" customHeight="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</row>
    <row r="342" spans="1:31" ht="15.75" customHeight="1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</row>
    <row r="343" spans="1:31" ht="15.75" customHeight="1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</row>
    <row r="344" spans="1:31" ht="15.75" customHeight="1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</row>
    <row r="345" spans="1:31" ht="15.75" customHeight="1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</row>
    <row r="346" spans="1:31" ht="15.75" customHeight="1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</row>
    <row r="347" spans="1:31" ht="15.75" customHeight="1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</row>
    <row r="348" spans="1:31" ht="15.75" customHeight="1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</row>
    <row r="349" spans="1:31" ht="15.75" customHeight="1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</row>
    <row r="350" spans="1:31" ht="15.75" customHeight="1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</row>
    <row r="351" spans="1:31" ht="15.75" customHeight="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</row>
    <row r="352" spans="1:31" ht="15.75" customHeight="1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</row>
    <row r="353" spans="1:31" ht="15.75" customHeight="1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</row>
    <row r="354" spans="1:31" ht="15.75" customHeight="1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</row>
    <row r="355" spans="1:31" ht="15.75" customHeight="1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</row>
    <row r="356" spans="1:31" ht="15.75" customHeight="1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</row>
    <row r="357" spans="1:31" ht="15.75" customHeight="1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</row>
    <row r="358" spans="1:31" ht="15.75" customHeight="1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</row>
    <row r="359" spans="1:31" ht="15.75" customHeight="1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</row>
    <row r="360" spans="1:31" ht="15.75" customHeight="1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</row>
    <row r="361" spans="1:31" ht="15.75" customHeight="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</row>
    <row r="362" spans="1:31" ht="15.75" customHeight="1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</row>
    <row r="363" spans="1:31" ht="15.75" customHeight="1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</row>
    <row r="364" spans="1:31" ht="15.75" customHeight="1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</row>
    <row r="365" spans="1:31" ht="15.75" customHeight="1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</row>
    <row r="366" spans="1:31" ht="15.75" customHeight="1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</row>
    <row r="367" spans="1:31" ht="15.75" customHeight="1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</row>
    <row r="368" spans="1:31" ht="15.75" customHeight="1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</row>
    <row r="369" spans="1:31" ht="15.75" customHeight="1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</row>
    <row r="370" spans="1:31" ht="15.75" customHeight="1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</row>
    <row r="371" spans="1:31" ht="15.75" customHeight="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</row>
    <row r="372" spans="1:31" ht="15.75" customHeight="1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</row>
    <row r="373" spans="1:31" ht="15.75" customHeight="1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</row>
    <row r="374" spans="1:31" ht="15.75" customHeight="1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</row>
    <row r="375" spans="1:31" ht="15.75" customHeight="1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</row>
    <row r="376" spans="1:31" ht="15.75" customHeight="1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</row>
    <row r="377" spans="1:31" ht="15.75" customHeight="1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</row>
    <row r="378" spans="1:31" ht="15.75" customHeight="1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</row>
    <row r="379" spans="1:31" ht="15.75" customHeight="1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</row>
    <row r="380" spans="1:31" ht="15.75" customHeight="1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</row>
    <row r="381" spans="1:31" ht="15.75" customHeight="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</row>
    <row r="382" spans="1:31" ht="15.75" customHeight="1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</row>
    <row r="383" spans="1:31" ht="15.75" customHeight="1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</row>
    <row r="384" spans="1:31" ht="15.75" customHeight="1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</row>
    <row r="385" spans="1:31" ht="15.75" customHeight="1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</row>
    <row r="386" spans="1:31" ht="15.75" customHeight="1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</row>
    <row r="387" spans="1:31" ht="15.75" customHeight="1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</row>
    <row r="388" spans="1:31" ht="15.75" customHeight="1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</row>
    <row r="389" spans="1:31" ht="15.75" customHeight="1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</row>
    <row r="390" spans="1:31" ht="15.75" customHeight="1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</row>
    <row r="391" spans="1:31" ht="15.75" customHeight="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</row>
    <row r="392" spans="1:31" ht="15.75" customHeight="1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</row>
    <row r="393" spans="1:31" ht="15.75" customHeight="1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</row>
    <row r="394" spans="1:31" ht="15.75" customHeight="1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</row>
    <row r="395" spans="1:31" ht="15.75" customHeight="1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</row>
    <row r="396" spans="1:31" ht="15.75" customHeight="1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</row>
    <row r="397" spans="1:31" ht="15.75" customHeight="1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</row>
    <row r="398" spans="1:31" ht="15.75" customHeight="1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</row>
    <row r="399" spans="1:31" ht="15.75" customHeight="1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</row>
    <row r="400" spans="1:31" ht="15.75" customHeight="1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</row>
    <row r="401" spans="1:31" ht="15.75" customHeight="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</row>
    <row r="402" spans="1:31" ht="15.75" customHeight="1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</row>
    <row r="403" spans="1:31" ht="15.75" customHeight="1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</row>
    <row r="404" spans="1:31" ht="15.75" customHeight="1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</row>
    <row r="405" spans="1:31" ht="15.75" customHeight="1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</row>
    <row r="406" spans="1:31" ht="15.75" customHeight="1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</row>
    <row r="407" spans="1:31" ht="15.75" customHeight="1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</row>
    <row r="408" spans="1:31" ht="15.75" customHeight="1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</row>
    <row r="409" spans="1:31" ht="15.75" customHeight="1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</row>
    <row r="410" spans="1:31" ht="15.75" customHeight="1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</row>
    <row r="411" spans="1:31" ht="15.75" customHeight="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</row>
    <row r="412" spans="1:31" ht="15.75" customHeight="1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</row>
    <row r="413" spans="1:31" ht="15.75" customHeight="1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</row>
    <row r="414" spans="1:31" ht="15.75" customHeight="1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</row>
    <row r="415" spans="1:31" ht="15.75" customHeight="1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</row>
    <row r="416" spans="1:31" ht="15.75" customHeight="1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</row>
    <row r="417" spans="1:31" ht="15.75" customHeight="1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</row>
    <row r="418" spans="1:31" ht="15.75" customHeight="1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</row>
    <row r="419" spans="1:31" ht="15.75" customHeight="1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</row>
    <row r="420" spans="1:31" ht="15.75" customHeight="1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</row>
    <row r="421" spans="1:31" ht="15.75" customHeight="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</row>
    <row r="422" spans="1:31" ht="15.75" customHeight="1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</row>
    <row r="423" spans="1:31" ht="15.75" customHeight="1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</row>
    <row r="424" spans="1:31" ht="15.75" customHeight="1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</row>
    <row r="425" spans="1:31" ht="15.75" customHeight="1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</row>
    <row r="426" spans="1:31" ht="15.75" customHeight="1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</row>
    <row r="427" spans="1:31" ht="15.75" customHeight="1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</row>
    <row r="428" spans="1:31" ht="15.75" customHeight="1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</row>
    <row r="429" spans="1:31" ht="15.75" customHeight="1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</row>
    <row r="430" spans="1:31" ht="15.75" customHeight="1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</row>
    <row r="431" spans="1:31" ht="15.75" customHeight="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</row>
    <row r="432" spans="1:31" ht="15.75" customHeight="1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</row>
    <row r="433" spans="1:31" ht="15.75" customHeight="1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</row>
    <row r="434" spans="1:31" ht="15.75" customHeight="1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</row>
    <row r="435" spans="1:31" ht="15.75" customHeight="1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</row>
    <row r="436" spans="1:31" ht="15.75" customHeight="1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</row>
    <row r="437" spans="1:31" ht="15.75" customHeight="1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</row>
    <row r="438" spans="1:31" ht="15.75" customHeight="1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</row>
    <row r="439" spans="1:31" ht="15.75" customHeight="1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</row>
    <row r="440" spans="1:31" ht="15.75" customHeight="1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</row>
    <row r="441" spans="1:31" ht="15.75" customHeight="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</row>
    <row r="442" spans="1:31" ht="15.75" customHeight="1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</row>
    <row r="443" spans="1:31" ht="15.75" customHeight="1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</row>
    <row r="444" spans="1:31" ht="15.75" customHeight="1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</row>
    <row r="445" spans="1:31" ht="15.75" customHeight="1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</row>
    <row r="446" spans="1:31" ht="15.75" customHeight="1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</row>
    <row r="447" spans="1:31" ht="15.75" customHeight="1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</row>
    <row r="448" spans="1:31" ht="15.75" customHeight="1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</row>
    <row r="449" spans="1:31" ht="15.75" customHeight="1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</row>
    <row r="450" spans="1:31" ht="15.75" customHeight="1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</row>
    <row r="451" spans="1:31" ht="15.75" customHeight="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</row>
    <row r="452" spans="1:31" ht="15.75" customHeight="1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</row>
    <row r="453" spans="1:31" ht="15.75" customHeight="1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</row>
    <row r="454" spans="1:31" ht="15.75" customHeight="1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</row>
    <row r="455" spans="1:31" ht="15.75" customHeight="1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</row>
    <row r="456" spans="1:31" ht="15.75" customHeight="1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</row>
    <row r="457" spans="1:31" ht="15.75" customHeight="1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</row>
    <row r="458" spans="1:31" ht="15.75" customHeight="1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</row>
    <row r="459" spans="1:31" ht="15.75" customHeight="1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</row>
    <row r="460" spans="1:31" ht="15.75" customHeight="1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</row>
    <row r="461" spans="1:31" ht="15.75" customHeight="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</row>
    <row r="462" spans="1:31" ht="15.75" customHeight="1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</row>
    <row r="463" spans="1:31" ht="15.75" customHeight="1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</row>
    <row r="464" spans="1:31" ht="15.75" customHeight="1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</row>
    <row r="465" spans="1:31" ht="15.75" customHeight="1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</row>
    <row r="466" spans="1:31" ht="15.75" customHeight="1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</row>
    <row r="467" spans="1:31" ht="15.75" customHeight="1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</row>
    <row r="468" spans="1:31" ht="15.75" customHeight="1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</row>
    <row r="469" spans="1:31" ht="15.75" customHeight="1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</row>
    <row r="470" spans="1:31" ht="15.75" customHeight="1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</row>
    <row r="471" spans="1:31" ht="15.75" customHeight="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</row>
    <row r="472" spans="1:31" ht="15.75" customHeight="1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</row>
    <row r="473" spans="1:31" ht="15.75" customHeight="1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</row>
    <row r="474" spans="1:31" ht="15.75" customHeight="1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</row>
    <row r="475" spans="1:31" ht="15.75" customHeight="1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</row>
    <row r="476" spans="1:31" ht="15.75" customHeight="1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</row>
    <row r="477" spans="1:31" ht="15.75" customHeight="1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</row>
    <row r="478" spans="1:31" ht="15.75" customHeight="1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</row>
    <row r="479" spans="1:31" ht="15.75" customHeight="1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</row>
    <row r="480" spans="1:31" ht="15.75" customHeight="1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</row>
    <row r="481" spans="1:31" ht="15.75" customHeight="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</row>
    <row r="482" spans="1:31" ht="15.75" customHeight="1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</row>
    <row r="483" spans="1:31" ht="15.75" customHeight="1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</row>
    <row r="484" spans="1:31" ht="15.75" customHeight="1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</row>
    <row r="485" spans="1:31" ht="15.75" customHeight="1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</row>
    <row r="486" spans="1:31" ht="15.75" customHeight="1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</row>
    <row r="487" spans="1:31" ht="15.75" customHeight="1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</row>
    <row r="488" spans="1:31" ht="15.75" customHeight="1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</row>
    <row r="489" spans="1:31" ht="15.75" customHeight="1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</row>
    <row r="490" spans="1:31" ht="15.75" customHeight="1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</row>
    <row r="491" spans="1:31" ht="15.75" customHeight="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</row>
    <row r="492" spans="1:31" ht="15.75" customHeight="1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</row>
    <row r="493" spans="1:31" ht="15.75" customHeight="1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</row>
    <row r="494" spans="1:31" ht="15.75" customHeight="1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</row>
    <row r="495" spans="1:31" ht="15.75" customHeight="1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</row>
    <row r="496" spans="1:31" ht="15.75" customHeight="1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</row>
    <row r="497" spans="1:31" ht="15.75" customHeight="1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</row>
    <row r="498" spans="1:31" ht="15.75" customHeight="1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</row>
    <row r="499" spans="1:31" ht="15.75" customHeight="1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</row>
    <row r="500" spans="1:31" ht="15.75" customHeight="1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</row>
    <row r="501" spans="1:31" ht="15.75" customHeight="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</row>
    <row r="502" spans="1:31" ht="15.75" customHeight="1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</row>
    <row r="503" spans="1:31" ht="15.75" customHeight="1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</row>
    <row r="504" spans="1:31" ht="15.75" customHeight="1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</row>
    <row r="505" spans="1:31" ht="15.75" customHeight="1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</row>
    <row r="506" spans="1:31" ht="15.75" customHeight="1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</row>
    <row r="507" spans="1:31" ht="15.75" customHeight="1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</row>
    <row r="508" spans="1:31" ht="15.75" customHeight="1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</row>
    <row r="509" spans="1:31" ht="15.75" customHeight="1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</row>
    <row r="510" spans="1:31" ht="15.75" customHeight="1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</row>
    <row r="511" spans="1:31" ht="15.75" customHeight="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</row>
    <row r="512" spans="1:31" ht="15.75" customHeight="1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</row>
    <row r="513" spans="1:31" ht="15.75" customHeight="1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</row>
    <row r="514" spans="1:31" ht="15.75" customHeight="1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</row>
    <row r="515" spans="1:31" ht="15.75" customHeight="1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</row>
    <row r="516" spans="1:31" ht="15.75" customHeight="1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</row>
    <row r="517" spans="1:31" ht="15.75" customHeight="1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</row>
    <row r="518" spans="1:31" ht="15.75" customHeight="1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</row>
    <row r="519" spans="1:31" ht="15.75" customHeight="1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</row>
    <row r="520" spans="1:31" ht="15.75" customHeight="1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</row>
    <row r="521" spans="1:31" ht="15.75" customHeight="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</row>
    <row r="522" spans="1:31" ht="15.75" customHeight="1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</row>
    <row r="523" spans="1:31" ht="15.75" customHeight="1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</row>
    <row r="524" spans="1:31" ht="15.75" customHeight="1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</row>
    <row r="525" spans="1:31" ht="15.75" customHeight="1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</row>
    <row r="526" spans="1:31" ht="15.75" customHeight="1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</row>
    <row r="527" spans="1:31" ht="15.75" customHeight="1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</row>
    <row r="528" spans="1:31" ht="15.75" customHeight="1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</row>
    <row r="529" spans="1:31" ht="15.75" customHeight="1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</row>
    <row r="530" spans="1:31" ht="15.75" customHeight="1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</row>
    <row r="531" spans="1:31" ht="15.75" customHeight="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</row>
    <row r="532" spans="1:31" ht="15.75" customHeight="1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</row>
    <row r="533" spans="1:31" ht="15.75" customHeight="1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</row>
    <row r="534" spans="1:31" ht="15.75" customHeight="1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</row>
    <row r="535" spans="1:31" ht="15.75" customHeight="1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</row>
    <row r="536" spans="1:31" ht="15.75" customHeight="1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</row>
    <row r="537" spans="1:31" ht="15.75" customHeight="1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</row>
    <row r="538" spans="1:31" ht="15.75" customHeight="1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</row>
    <row r="539" spans="1:31" ht="15.75" customHeight="1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</row>
    <row r="540" spans="1:31" ht="15.75" customHeight="1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</row>
    <row r="541" spans="1:31" ht="15.75" customHeight="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</row>
    <row r="542" spans="1:31" ht="15.75" customHeight="1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</row>
    <row r="543" spans="1:31" ht="15.75" customHeight="1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</row>
    <row r="544" spans="1:31" ht="15.75" customHeight="1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</row>
    <row r="545" spans="1:31" ht="15.75" customHeight="1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</row>
    <row r="546" spans="1:31" ht="15.75" customHeight="1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</row>
    <row r="547" spans="1:31" ht="15.75" customHeight="1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</row>
    <row r="548" spans="1:31" ht="15.75" customHeight="1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</row>
    <row r="549" spans="1:31" ht="15.75" customHeight="1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</row>
    <row r="550" spans="1:31" ht="15.75" customHeight="1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</row>
    <row r="551" spans="1:31" ht="15.75" customHeight="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</row>
    <row r="552" spans="1:31" ht="15.75" customHeight="1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</row>
    <row r="553" spans="1:31" ht="15.75" customHeight="1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</row>
    <row r="554" spans="1:31" ht="15.75" customHeight="1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</row>
    <row r="555" spans="1:31" ht="15.75" customHeight="1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</row>
    <row r="556" spans="1:31" ht="15.75" customHeight="1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</row>
    <row r="557" spans="1:31" ht="15.75" customHeight="1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</row>
    <row r="558" spans="1:31" ht="15.75" customHeight="1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</row>
    <row r="559" spans="1:31" ht="15.75" customHeight="1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</row>
    <row r="560" spans="1:31" ht="15.75" customHeight="1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</row>
    <row r="561" spans="1:31" ht="15.75" customHeight="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</row>
    <row r="562" spans="1:31" ht="15.75" customHeight="1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</row>
    <row r="563" spans="1:31" ht="15.75" customHeight="1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</row>
    <row r="564" spans="1:31" ht="15.75" customHeight="1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</row>
    <row r="565" spans="1:31" ht="15.75" customHeight="1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</row>
    <row r="566" spans="1:31" ht="15.75" customHeight="1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</row>
    <row r="567" spans="1:31" ht="15.75" customHeight="1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</row>
    <row r="568" spans="1:31" ht="15.75" customHeight="1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</row>
    <row r="569" spans="1:31" ht="15.75" customHeight="1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</row>
    <row r="570" spans="1:31" ht="15.75" customHeight="1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</row>
    <row r="571" spans="1:31" ht="15.75" customHeight="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</row>
    <row r="572" spans="1:31" ht="15.75" customHeight="1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</row>
    <row r="573" spans="1:31" ht="15.75" customHeight="1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</row>
    <row r="574" spans="1:31" ht="15.75" customHeight="1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</row>
    <row r="575" spans="1:31" ht="15.75" customHeight="1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</row>
    <row r="576" spans="1:31" ht="15.75" customHeight="1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</row>
    <row r="577" spans="1:31" ht="15.75" customHeight="1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</row>
    <row r="578" spans="1:31" ht="15.75" customHeight="1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</row>
    <row r="579" spans="1:31" ht="15.75" customHeight="1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</row>
    <row r="580" spans="1:31" ht="15.75" customHeight="1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</row>
    <row r="581" spans="1:31" ht="15.75" customHeight="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</row>
    <row r="582" spans="1:31" ht="15.75" customHeight="1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</row>
    <row r="583" spans="1:31" ht="15.75" customHeight="1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</row>
    <row r="584" spans="1:31" ht="15.75" customHeight="1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</row>
    <row r="585" spans="1:31" ht="15.75" customHeight="1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</row>
    <row r="586" spans="1:31" ht="15.75" customHeight="1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</row>
    <row r="587" spans="1:31" ht="15.75" customHeight="1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</row>
    <row r="588" spans="1:31" ht="15.75" customHeight="1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</row>
    <row r="589" spans="1:31" ht="15.75" customHeight="1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</row>
    <row r="590" spans="1:31" ht="15.75" customHeight="1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</row>
    <row r="591" spans="1:31" ht="15.75" customHeight="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</row>
    <row r="592" spans="1:31" ht="15.75" customHeight="1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</row>
    <row r="593" spans="1:31" ht="15.75" customHeight="1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</row>
    <row r="594" spans="1:31" ht="15.75" customHeight="1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</row>
    <row r="595" spans="1:31" ht="15.75" customHeight="1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</row>
    <row r="596" spans="1:31" ht="15.75" customHeight="1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</row>
    <row r="597" spans="1:31" ht="15.75" customHeight="1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</row>
    <row r="598" spans="1:31" ht="15.75" customHeight="1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</row>
    <row r="599" spans="1:31" ht="15.75" customHeight="1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</row>
    <row r="600" spans="1:31" ht="15.75" customHeight="1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</row>
    <row r="601" spans="1:31" ht="15.75" customHeight="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</row>
    <row r="602" spans="1:31" ht="15.75" customHeight="1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</row>
    <row r="603" spans="1:31" ht="15.75" customHeight="1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</row>
    <row r="604" spans="1:31" ht="15.75" customHeight="1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</row>
    <row r="605" spans="1:31" ht="15.75" customHeight="1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</row>
    <row r="606" spans="1:31" ht="15.75" customHeight="1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</row>
    <row r="607" spans="1:31" ht="15.75" customHeight="1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</row>
    <row r="608" spans="1:31" ht="15.75" customHeight="1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</row>
    <row r="609" spans="1:31" ht="15.75" customHeight="1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</row>
    <row r="610" spans="1:31" ht="15.75" customHeight="1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</row>
    <row r="611" spans="1:31" ht="15.75" customHeight="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</row>
    <row r="612" spans="1:31" ht="15.75" customHeight="1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</row>
    <row r="613" spans="1:31" ht="15.75" customHeight="1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</row>
    <row r="614" spans="1:31" ht="15.75" customHeight="1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</row>
    <row r="615" spans="1:31" ht="15.75" customHeight="1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</row>
    <row r="616" spans="1:31" ht="15.75" customHeight="1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</row>
    <row r="617" spans="1:31" ht="15.75" customHeight="1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</row>
    <row r="618" spans="1:31" ht="15.75" customHeight="1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</row>
    <row r="619" spans="1:31" ht="15.75" customHeight="1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</row>
    <row r="620" spans="1:31" ht="15.75" customHeight="1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</row>
    <row r="621" spans="1:31" ht="15.75" customHeight="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</row>
    <row r="622" spans="1:31" ht="15.75" customHeight="1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</row>
    <row r="623" spans="1:31" ht="15.75" customHeight="1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</row>
    <row r="624" spans="1:31" ht="15.75" customHeight="1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</row>
    <row r="625" spans="1:31" ht="15.75" customHeight="1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</row>
    <row r="626" spans="1:31" ht="15.75" customHeight="1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</row>
    <row r="627" spans="1:31" ht="15.75" customHeight="1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</row>
    <row r="628" spans="1:31" ht="15.75" customHeight="1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</row>
    <row r="629" spans="1:31" ht="15.75" customHeight="1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</row>
    <row r="630" spans="1:31" ht="15.75" customHeight="1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</row>
    <row r="631" spans="1:31" ht="15.75" customHeight="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</row>
    <row r="632" spans="1:31" ht="15.75" customHeight="1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</row>
    <row r="633" spans="1:31" ht="15.75" customHeight="1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</row>
    <row r="634" spans="1:31" ht="15.75" customHeight="1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</row>
    <row r="635" spans="1:31" ht="15.75" customHeight="1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</row>
    <row r="636" spans="1:31" ht="15.75" customHeight="1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</row>
    <row r="637" spans="1:31" ht="15.75" customHeight="1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</row>
    <row r="638" spans="1:31" ht="15.75" customHeight="1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</row>
    <row r="639" spans="1:31" ht="15.75" customHeight="1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</row>
    <row r="640" spans="1:31" ht="15.75" customHeight="1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</row>
    <row r="641" spans="1:31" ht="15.75" customHeight="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</row>
    <row r="642" spans="1:31" ht="15.75" customHeight="1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</row>
    <row r="643" spans="1:31" ht="15.75" customHeight="1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</row>
    <row r="644" spans="1:31" ht="15.75" customHeight="1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</row>
    <row r="645" spans="1:31" ht="15.75" customHeight="1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</row>
    <row r="646" spans="1:31" ht="15.75" customHeight="1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</row>
    <row r="647" spans="1:31" ht="15.75" customHeight="1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</row>
    <row r="648" spans="1:31" ht="15.75" customHeight="1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</row>
    <row r="649" spans="1:31" ht="15.75" customHeight="1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</row>
    <row r="650" spans="1:31" ht="15.75" customHeight="1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</row>
    <row r="651" spans="1:31" ht="15.75" customHeight="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</row>
    <row r="652" spans="1:31" ht="15.75" customHeight="1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</row>
    <row r="653" spans="1:31" ht="15.75" customHeight="1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</row>
    <row r="654" spans="1:31" ht="15.75" customHeight="1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</row>
    <row r="655" spans="1:31" ht="15.75" customHeight="1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</row>
    <row r="656" spans="1:31" ht="15.75" customHeight="1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</row>
    <row r="657" spans="1:31" ht="15.75" customHeight="1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</row>
    <row r="658" spans="1:31" ht="15.75" customHeight="1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</row>
    <row r="659" spans="1:31" ht="15.75" customHeight="1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</row>
    <row r="660" spans="1:31" ht="15.75" customHeight="1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</row>
    <row r="661" spans="1:31" ht="15.75" customHeight="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</row>
    <row r="662" spans="1:31" ht="15.75" customHeight="1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</row>
    <row r="663" spans="1:31" ht="15.75" customHeight="1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</row>
    <row r="664" spans="1:31" ht="15.75" customHeight="1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</row>
    <row r="665" spans="1:31" ht="15.75" customHeight="1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</row>
    <row r="666" spans="1:31" ht="15.75" customHeight="1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</row>
    <row r="667" spans="1:31" ht="15.75" customHeight="1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</row>
    <row r="668" spans="1:31" ht="15.75" customHeight="1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</row>
    <row r="669" spans="1:31" ht="15.75" customHeight="1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</row>
    <row r="670" spans="1:31" ht="15.75" customHeight="1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</row>
    <row r="671" spans="1:31" ht="15.75" customHeight="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</row>
    <row r="672" spans="1:31" ht="15.75" customHeight="1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</row>
    <row r="673" spans="1:31" ht="15.75" customHeight="1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</row>
    <row r="674" spans="1:31" ht="15.75" customHeight="1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</row>
    <row r="675" spans="1:31" ht="15.75" customHeight="1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</row>
    <row r="676" spans="1:31" ht="15.75" customHeight="1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</row>
    <row r="677" spans="1:31" ht="15.75" customHeight="1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</row>
    <row r="678" spans="1:31" ht="15.75" customHeight="1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</row>
    <row r="679" spans="1:31" ht="15.75" customHeight="1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</row>
    <row r="680" spans="1:31" ht="15.75" customHeight="1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</row>
    <row r="681" spans="1:31" ht="15.75" customHeight="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</row>
    <row r="682" spans="1:31" ht="15.75" customHeight="1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</row>
    <row r="683" spans="1:31" ht="15.75" customHeight="1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</row>
    <row r="684" spans="1:31" ht="15.75" customHeight="1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</row>
    <row r="685" spans="1:31" ht="15.75" customHeight="1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</row>
    <row r="686" spans="1:31" ht="15.75" customHeight="1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</row>
    <row r="687" spans="1:31" ht="15.75" customHeight="1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</row>
    <row r="688" spans="1:31" ht="15.75" customHeight="1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</row>
    <row r="689" spans="1:31" ht="15.75" customHeight="1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</row>
    <row r="690" spans="1:31" ht="15.75" customHeight="1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</row>
    <row r="691" spans="1:31" ht="15.75" customHeight="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</row>
    <row r="692" spans="1:31" ht="15.75" customHeight="1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</row>
    <row r="693" spans="1:31" ht="15.75" customHeight="1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</row>
    <row r="694" spans="1:31" ht="15.75" customHeight="1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</row>
    <row r="695" spans="1:31" ht="15.75" customHeight="1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</row>
    <row r="696" spans="1:31" ht="15.75" customHeight="1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</row>
    <row r="697" spans="1:31" ht="15.75" customHeight="1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</row>
    <row r="698" spans="1:31" ht="15.75" customHeight="1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</row>
    <row r="699" spans="1:31" ht="15.75" customHeight="1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</row>
    <row r="700" spans="1:31" ht="15.75" customHeight="1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</row>
    <row r="701" spans="1:31" ht="15.75" customHeight="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</row>
    <row r="702" spans="1:31" ht="15.75" customHeight="1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</row>
    <row r="703" spans="1:31" ht="15.75" customHeight="1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</row>
    <row r="704" spans="1:31" ht="15.75" customHeight="1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</row>
    <row r="705" spans="1:31" ht="15.75" customHeight="1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</row>
    <row r="706" spans="1:31" ht="15.75" customHeight="1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</row>
    <row r="707" spans="1:31" ht="15.75" customHeight="1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</row>
    <row r="708" spans="1:31" ht="15.75" customHeight="1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</row>
    <row r="709" spans="1:31" ht="15.75" customHeight="1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</row>
    <row r="710" spans="1:31" ht="15.75" customHeight="1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</row>
    <row r="711" spans="1:31" ht="15.75" customHeight="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</row>
    <row r="712" spans="1:31" ht="15.75" customHeight="1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</row>
    <row r="713" spans="1:31" ht="15.75" customHeight="1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</row>
    <row r="714" spans="1:31" ht="15.75" customHeight="1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</row>
    <row r="715" spans="1:31" ht="15.75" customHeight="1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</row>
    <row r="716" spans="1:31" ht="15.75" customHeight="1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</row>
    <row r="717" spans="1:31" ht="15.75" customHeight="1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</row>
    <row r="718" spans="1:31" ht="15.75" customHeight="1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</row>
    <row r="719" spans="1:31" ht="15.75" customHeight="1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</row>
    <row r="720" spans="1:31" ht="15.75" customHeight="1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</row>
    <row r="721" spans="1:31" ht="15.75" customHeight="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</row>
    <row r="722" spans="1:31" ht="15.75" customHeight="1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</row>
    <row r="723" spans="1:31" ht="15.75" customHeight="1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</row>
    <row r="724" spans="1:31" ht="15.75" customHeight="1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</row>
    <row r="725" spans="1:31" ht="15.75" customHeight="1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</row>
    <row r="726" spans="1:31" ht="15.75" customHeight="1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</row>
    <row r="727" spans="1:31" ht="15.75" customHeight="1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</row>
    <row r="728" spans="1:31" ht="15.75" customHeight="1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</row>
    <row r="729" spans="1:31" ht="15.75" customHeight="1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</row>
    <row r="730" spans="1:31" ht="15.75" customHeight="1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</row>
    <row r="731" spans="1:31" ht="15.75" customHeight="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</row>
    <row r="732" spans="1:31" ht="15.75" customHeight="1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</row>
    <row r="733" spans="1:31" ht="15.75" customHeight="1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</row>
    <row r="734" spans="1:31" ht="15.75" customHeight="1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</row>
    <row r="735" spans="1:31" ht="15.75" customHeight="1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</row>
    <row r="736" spans="1:31" ht="15.75" customHeight="1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</row>
    <row r="737" spans="1:31" ht="15.75" customHeight="1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</row>
    <row r="738" spans="1:31" ht="15.75" customHeight="1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</row>
    <row r="739" spans="1:31" ht="15.75" customHeight="1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</row>
    <row r="740" spans="1:31" ht="15.75" customHeight="1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</row>
    <row r="741" spans="1:31" ht="15.75" customHeight="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</row>
    <row r="742" spans="1:31" ht="15.75" customHeight="1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</row>
    <row r="743" spans="1:31" ht="15.75" customHeight="1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</row>
    <row r="744" spans="1:31" ht="15.75" customHeight="1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</row>
    <row r="745" spans="1:31" ht="15.75" customHeight="1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</row>
    <row r="746" spans="1:31" ht="15.75" customHeight="1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</row>
    <row r="747" spans="1:31" ht="15.75" customHeight="1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</row>
    <row r="748" spans="1:31" ht="15.75" customHeight="1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</row>
    <row r="749" spans="1:31" ht="15.75" customHeight="1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</row>
    <row r="750" spans="1:31" ht="15.75" customHeight="1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</row>
    <row r="751" spans="1:31" ht="15.75" customHeight="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</row>
    <row r="752" spans="1:31" ht="15.75" customHeight="1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</row>
    <row r="753" spans="1:31" ht="15.75" customHeight="1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</row>
    <row r="754" spans="1:31" ht="15.75" customHeight="1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</row>
    <row r="755" spans="1:31" ht="15.75" customHeight="1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</row>
    <row r="756" spans="1:31" ht="15.75" customHeight="1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</row>
    <row r="757" spans="1:31" ht="15.75" customHeight="1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</row>
    <row r="758" spans="1:31" ht="15.75" customHeight="1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</row>
    <row r="759" spans="1:31" ht="15.75" customHeight="1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</row>
    <row r="760" spans="1:31" ht="15.75" customHeight="1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</row>
    <row r="761" spans="1:31" ht="15.75" customHeight="1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</row>
    <row r="762" spans="1:31" ht="15.75" customHeight="1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</row>
    <row r="763" spans="1:31" ht="15.75" customHeight="1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</row>
    <row r="764" spans="1:31" ht="15.75" customHeight="1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</row>
    <row r="765" spans="1:31" ht="15.75" customHeight="1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</row>
    <row r="766" spans="1:31" ht="15.75" customHeight="1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</row>
    <row r="767" spans="1:31" ht="15.75" customHeight="1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</row>
    <row r="768" spans="1:31" ht="15.75" customHeight="1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</row>
    <row r="769" spans="1:31" ht="15.75" customHeight="1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</row>
    <row r="770" spans="1:31" ht="15.75" customHeight="1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</row>
    <row r="771" spans="1:31" ht="15.75" customHeight="1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</row>
    <row r="772" spans="1:31" ht="15.75" customHeight="1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</row>
    <row r="773" spans="1:31" ht="15.75" customHeight="1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</row>
    <row r="774" spans="1:31" ht="15.75" customHeight="1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</row>
    <row r="775" spans="1:31" ht="15.75" customHeight="1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</row>
    <row r="776" spans="1:31" ht="15.75" customHeight="1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</row>
    <row r="777" spans="1:31" ht="15.75" customHeight="1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</row>
    <row r="778" spans="1:31" ht="15.75" customHeight="1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</row>
    <row r="779" spans="1:31" ht="15.75" customHeight="1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</row>
    <row r="780" spans="1:31" ht="15.75" customHeight="1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</row>
    <row r="781" spans="1:31" ht="15.75" customHeight="1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</row>
    <row r="782" spans="1:31" ht="15.75" customHeight="1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</row>
    <row r="783" spans="1:31" ht="15.75" customHeight="1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</row>
    <row r="784" spans="1:31" ht="15.75" customHeight="1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</row>
    <row r="785" spans="1:31" ht="15.75" customHeight="1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</row>
    <row r="786" spans="1:31" ht="15.75" customHeight="1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</row>
    <row r="787" spans="1:31" ht="15.75" customHeight="1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</row>
    <row r="788" spans="1:31" ht="15.75" customHeight="1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</row>
    <row r="789" spans="1:31" ht="15.75" customHeight="1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</row>
    <row r="790" spans="1:31" ht="15.75" customHeight="1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</row>
    <row r="791" spans="1:31" ht="15.75" customHeight="1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</row>
    <row r="792" spans="1:31" ht="15.75" customHeight="1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</row>
    <row r="793" spans="1:31" ht="15.75" customHeight="1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</row>
    <row r="794" spans="1:31" ht="15.75" customHeight="1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</row>
    <row r="795" spans="1:31" ht="15.75" customHeight="1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</row>
    <row r="796" spans="1:31" ht="15.75" customHeight="1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</row>
    <row r="797" spans="1:31" ht="15.75" customHeight="1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</row>
    <row r="798" spans="1:31" ht="15.75" customHeight="1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</row>
    <row r="799" spans="1:31" ht="15.75" customHeight="1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</row>
    <row r="800" spans="1:31" ht="15.75" customHeight="1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</row>
    <row r="801" spans="1:31" ht="15.75" customHeight="1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</row>
    <row r="802" spans="1:31" ht="15.75" customHeight="1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</row>
    <row r="803" spans="1:31" ht="15.75" customHeight="1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</row>
    <row r="804" spans="1:31" ht="15.75" customHeight="1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</row>
    <row r="805" spans="1:31" ht="15.75" customHeight="1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</row>
    <row r="806" spans="1:31" ht="15.75" customHeight="1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</row>
    <row r="807" spans="1:31" ht="15.75" customHeight="1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</row>
    <row r="808" spans="1:31" ht="15.75" customHeight="1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</row>
    <row r="809" spans="1:31" ht="15.75" customHeight="1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</row>
    <row r="810" spans="1:31" ht="15.75" customHeight="1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</row>
    <row r="811" spans="1:31" ht="15.75" customHeight="1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</row>
    <row r="812" spans="1:31" ht="15.75" customHeight="1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</row>
    <row r="813" spans="1:31" ht="15.75" customHeight="1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</row>
    <row r="814" spans="1:31" ht="15.75" customHeight="1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</row>
    <row r="815" spans="1:31" ht="15.75" customHeight="1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</row>
    <row r="816" spans="1:31" ht="15.75" customHeight="1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</row>
    <row r="817" spans="1:31" ht="15.75" customHeight="1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</row>
    <row r="818" spans="1:31" ht="15.75" customHeight="1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</row>
    <row r="819" spans="1:31" ht="15.75" customHeight="1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</row>
    <row r="820" spans="1:31" ht="15.75" customHeight="1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</row>
    <row r="821" spans="1:31" ht="15.75" customHeight="1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</row>
    <row r="822" spans="1:31" ht="15.75" customHeight="1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</row>
    <row r="823" spans="1:31" ht="15.75" customHeight="1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</row>
    <row r="824" spans="1:31" ht="15.75" customHeight="1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</row>
    <row r="825" spans="1:31" ht="15.75" customHeight="1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</row>
    <row r="826" spans="1:31" ht="15.75" customHeight="1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</row>
    <row r="827" spans="1:31" ht="15.75" customHeight="1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</row>
    <row r="828" spans="1:31" ht="15.75" customHeight="1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</row>
    <row r="829" spans="1:31" ht="15.75" customHeight="1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</row>
    <row r="830" spans="1:31" ht="15.75" customHeight="1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</row>
    <row r="831" spans="1:31" ht="15.75" customHeight="1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</row>
    <row r="832" spans="1:31" ht="15.75" customHeight="1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</row>
    <row r="833" spans="1:31" ht="15.75" customHeight="1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</row>
    <row r="834" spans="1:31" ht="15.75" customHeight="1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</row>
    <row r="835" spans="1:31" ht="15.75" customHeight="1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</row>
    <row r="836" spans="1:31" ht="15.75" customHeight="1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</row>
    <row r="837" spans="1:31" ht="15.75" customHeight="1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</row>
    <row r="838" spans="1:31" ht="15.75" customHeight="1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</row>
    <row r="839" spans="1:31" ht="15.75" customHeight="1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</row>
    <row r="840" spans="1:31" ht="15.75" customHeight="1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</row>
    <row r="841" spans="1:31" ht="15.75" customHeight="1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</row>
    <row r="842" spans="1:31" ht="15.75" customHeight="1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</row>
    <row r="843" spans="1:31" ht="15.75" customHeight="1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</row>
    <row r="844" spans="1:31" ht="15.75" customHeight="1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</row>
    <row r="845" spans="1:31" ht="15.75" customHeight="1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</row>
    <row r="846" spans="1:31" ht="15.75" customHeight="1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</row>
    <row r="847" spans="1:31" ht="15.75" customHeight="1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</row>
    <row r="848" spans="1:31" ht="15.75" customHeight="1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</row>
    <row r="849" spans="1:31" ht="15.75" customHeight="1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</row>
    <row r="850" spans="1:31" ht="15.75" customHeight="1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</row>
    <row r="851" spans="1:31" ht="15.75" customHeight="1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</row>
    <row r="852" spans="1:31" ht="15.75" customHeight="1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</row>
    <row r="853" spans="1:31" ht="15.75" customHeight="1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</row>
    <row r="854" spans="1:31" ht="15.75" customHeight="1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</row>
    <row r="855" spans="1:31" ht="15.75" customHeight="1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</row>
    <row r="856" spans="1:31" ht="15.75" customHeight="1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</row>
    <row r="857" spans="1:31" ht="15.75" customHeight="1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</row>
    <row r="858" spans="1:31" ht="15.75" customHeight="1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</row>
    <row r="859" spans="1:31" ht="15.75" customHeight="1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</row>
    <row r="860" spans="1:31" ht="15.75" customHeight="1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</row>
    <row r="861" spans="1:31" ht="15.75" customHeight="1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</row>
    <row r="862" spans="1:31" ht="15.75" customHeight="1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</row>
    <row r="863" spans="1:31" ht="15.75" customHeight="1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</row>
    <row r="864" spans="1:31" ht="15.75" customHeight="1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</row>
    <row r="865" spans="1:31" ht="15.75" customHeight="1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</row>
    <row r="866" spans="1:31" ht="15.75" customHeight="1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</row>
    <row r="867" spans="1:31" ht="15.75" customHeight="1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</row>
    <row r="868" spans="1:31" ht="15.75" customHeight="1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</row>
    <row r="869" spans="1:31" ht="15.75" customHeight="1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</row>
    <row r="870" spans="1:31" ht="15.75" customHeight="1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</row>
    <row r="871" spans="1:31" ht="15.75" customHeight="1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</row>
    <row r="872" spans="1:31" ht="15.75" customHeight="1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</row>
    <row r="873" spans="1:31" ht="15.75" customHeight="1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</row>
    <row r="874" spans="1:31" ht="15.75" customHeight="1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</row>
    <row r="875" spans="1:31" ht="15.75" customHeight="1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</row>
    <row r="876" spans="1:31" ht="15.75" customHeight="1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</row>
    <row r="877" spans="1:31" ht="15.75" customHeight="1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</row>
    <row r="878" spans="1:31" ht="15.75" customHeight="1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</row>
    <row r="879" spans="1:31" ht="15.75" customHeight="1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</row>
    <row r="880" spans="1:31" ht="15.75" customHeight="1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</row>
    <row r="881" spans="1:31" ht="15.75" customHeight="1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</row>
    <row r="882" spans="1:31" ht="15.75" customHeight="1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</row>
    <row r="883" spans="1:31" ht="15.75" customHeight="1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</row>
    <row r="884" spans="1:31" ht="15.75" customHeight="1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</row>
    <row r="885" spans="1:31" ht="15.75" customHeight="1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</row>
    <row r="886" spans="1:31" ht="15.75" customHeight="1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</row>
    <row r="887" spans="1:31" ht="15.75" customHeight="1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</row>
    <row r="888" spans="1:31" ht="15.75" customHeight="1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</row>
    <row r="889" spans="1:31" ht="15.75" customHeight="1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</row>
    <row r="890" spans="1:31" ht="15.75" customHeight="1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</row>
    <row r="891" spans="1:31" ht="15.75" customHeight="1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</row>
    <row r="892" spans="1:31" ht="15.75" customHeight="1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</row>
    <row r="893" spans="1:31" ht="15.75" customHeight="1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</row>
    <row r="894" spans="1:31" ht="15.75" customHeight="1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</row>
    <row r="895" spans="1:31" ht="15.75" customHeight="1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</row>
    <row r="896" spans="1:31" ht="15.75" customHeight="1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</row>
    <row r="897" spans="1:31" ht="15.75" customHeight="1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</row>
    <row r="898" spans="1:31" ht="15.75" customHeight="1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</row>
    <row r="899" spans="1:31" ht="15.75" customHeight="1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</row>
    <row r="900" spans="1:31" ht="15.75" customHeight="1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</row>
    <row r="901" spans="1:31" ht="15.75" customHeight="1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</row>
    <row r="902" spans="1:31" ht="15.75" customHeight="1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</row>
    <row r="903" spans="1:31" ht="15.75" customHeight="1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</row>
    <row r="904" spans="1:31" ht="15.75" customHeight="1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</row>
    <row r="905" spans="1:31" ht="15.75" customHeight="1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</row>
    <row r="906" spans="1:31" ht="15.75" customHeight="1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</row>
    <row r="907" spans="1:31" ht="15.75" customHeight="1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</row>
    <row r="908" spans="1:31" ht="15.75" customHeight="1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</row>
    <row r="909" spans="1:31" ht="15.75" customHeight="1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</row>
    <row r="910" spans="1:31" ht="15.75" customHeight="1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</row>
    <row r="911" spans="1:31" ht="15.75" customHeight="1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</row>
    <row r="912" spans="1:31" ht="15.75" customHeight="1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</row>
    <row r="913" spans="1:31" ht="15.75" customHeight="1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</row>
    <row r="914" spans="1:31" ht="15.75" customHeight="1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</row>
    <row r="915" spans="1:31" ht="15.75" customHeight="1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</row>
    <row r="916" spans="1:31" ht="15.75" customHeight="1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</row>
    <row r="917" spans="1:31" ht="15.75" customHeight="1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</row>
    <row r="918" spans="1:31" ht="15.75" customHeight="1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</row>
    <row r="919" spans="1:31" ht="15.75" customHeight="1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</row>
    <row r="920" spans="1:31" ht="15.75" customHeight="1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</row>
    <row r="921" spans="1:31" ht="15.75" customHeight="1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</row>
    <row r="922" spans="1:31" ht="15.75" customHeight="1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</row>
    <row r="923" spans="1:31" ht="15.75" customHeight="1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</row>
    <row r="924" spans="1:31" ht="15.75" customHeight="1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</row>
    <row r="925" spans="1:31" ht="15.75" customHeight="1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</row>
    <row r="926" spans="1:31" ht="15.75" customHeight="1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</row>
    <row r="927" spans="1:31" ht="15.75" customHeight="1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</row>
    <row r="928" spans="1:31" ht="15.75" customHeight="1">
      <c r="A928" s="4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</row>
    <row r="929" spans="1:31" ht="15.75" customHeight="1">
      <c r="A929" s="4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</row>
    <row r="930" spans="1:31" ht="15.75" customHeight="1">
      <c r="A930" s="4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</row>
    <row r="931" spans="1:31" ht="15.75" customHeight="1">
      <c r="A931" s="4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</row>
    <row r="932" spans="1:31" ht="15.75" customHeight="1">
      <c r="A932" s="4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</row>
    <row r="933" spans="1:31" ht="15.75" customHeight="1">
      <c r="A933" s="4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</row>
    <row r="934" spans="1:31" ht="15.75" customHeight="1">
      <c r="A934" s="4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</row>
    <row r="935" spans="1:31" ht="15.75" customHeight="1">
      <c r="A935" s="4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</row>
    <row r="936" spans="1:31" ht="15.75" customHeight="1">
      <c r="A936" s="4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</row>
    <row r="937" spans="1:31" ht="15.75" customHeight="1">
      <c r="A937" s="4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</row>
    <row r="938" spans="1:31" ht="15.75" customHeight="1">
      <c r="A938" s="4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</row>
    <row r="939" spans="1:31" ht="15.75" customHeight="1">
      <c r="A939" s="4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</row>
    <row r="940" spans="1:31" ht="15.75" customHeight="1">
      <c r="A940" s="4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</row>
    <row r="941" spans="1:31" ht="15.75" customHeight="1">
      <c r="A941" s="4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</row>
    <row r="942" spans="1:31" ht="15.75" customHeight="1">
      <c r="A942" s="4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</row>
    <row r="943" spans="1:31" ht="15.75" customHeight="1">
      <c r="A943" s="4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</row>
    <row r="944" spans="1:31" ht="15.75" customHeight="1">
      <c r="A944" s="4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</row>
    <row r="945" spans="1:31" ht="15.75" customHeight="1">
      <c r="A945" s="4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</row>
    <row r="946" spans="1:31" ht="15.75" customHeight="1">
      <c r="A946" s="4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</row>
    <row r="947" spans="1:31" ht="15.75" customHeight="1">
      <c r="A947" s="4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</row>
    <row r="948" spans="1:31" ht="15.75" customHeight="1">
      <c r="A948" s="4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</row>
    <row r="949" spans="1:31" ht="15.75" customHeight="1">
      <c r="A949" s="4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</row>
    <row r="950" spans="1:31" ht="15.75" customHeight="1">
      <c r="A950" s="4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</row>
    <row r="951" spans="1:31" ht="15.75" customHeight="1">
      <c r="A951" s="4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</row>
    <row r="952" spans="1:31" ht="15.75" customHeight="1">
      <c r="A952" s="4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</row>
    <row r="953" spans="1:31" ht="15.75" customHeight="1">
      <c r="A953" s="4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</row>
    <row r="954" spans="1:31" ht="15.75" customHeight="1">
      <c r="A954" s="4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</row>
    <row r="955" spans="1:31" ht="15.75" customHeight="1">
      <c r="A955" s="4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</row>
    <row r="956" spans="1:31" ht="15.75" customHeight="1">
      <c r="A956" s="4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</row>
    <row r="957" spans="1:31" ht="15.75" customHeight="1">
      <c r="A957" s="4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</row>
    <row r="958" spans="1:31" ht="15.75" customHeight="1">
      <c r="A958" s="4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</row>
    <row r="959" spans="1:31" ht="15.75" customHeight="1">
      <c r="A959" s="4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</row>
    <row r="960" spans="1:31" ht="15.75" customHeight="1">
      <c r="A960" s="4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</row>
    <row r="961" spans="1:31" ht="15.75" customHeight="1">
      <c r="A961" s="4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</row>
    <row r="962" spans="1:31" ht="15.75" customHeight="1">
      <c r="A962" s="4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</row>
    <row r="963" spans="1:31" ht="15.75" customHeight="1">
      <c r="A963" s="4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</row>
    <row r="964" spans="1:31" ht="15.75" customHeight="1">
      <c r="A964" s="4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</row>
    <row r="965" spans="1:31" ht="15.75" customHeight="1">
      <c r="A965" s="4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</row>
    <row r="966" spans="1:31" ht="15.75" customHeight="1">
      <c r="A966" s="4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</row>
    <row r="967" spans="1:31" ht="15.75" customHeight="1">
      <c r="A967" s="4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</row>
    <row r="968" spans="1:31" ht="15.75" customHeight="1">
      <c r="A968" s="4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</row>
    <row r="969" spans="1:31" ht="15.75" customHeight="1">
      <c r="A969" s="42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</row>
    <row r="970" spans="1:31" ht="15.75" customHeight="1">
      <c r="A970" s="42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</row>
    <row r="971" spans="1:31" ht="15.75" customHeight="1">
      <c r="A971" s="42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</row>
    <row r="972" spans="1:31" ht="15.75" customHeight="1">
      <c r="A972" s="42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</row>
    <row r="973" spans="1:31" ht="15.75" customHeight="1">
      <c r="A973" s="42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</row>
    <row r="974" spans="1:31" ht="15.75" customHeight="1">
      <c r="A974" s="42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</row>
    <row r="975" spans="1:31" ht="15.75" customHeight="1">
      <c r="A975" s="42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</row>
    <row r="976" spans="1:31" ht="15.75" customHeight="1">
      <c r="A976" s="42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</row>
    <row r="977" spans="1:31" ht="15.75" customHeight="1">
      <c r="A977" s="42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</row>
    <row r="978" spans="1:31" ht="15.75" customHeight="1">
      <c r="A978" s="42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</row>
    <row r="979" spans="1:31" ht="15.75" customHeight="1">
      <c r="A979" s="42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</row>
    <row r="980" spans="1:31" ht="15.75" customHeight="1">
      <c r="A980" s="42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</row>
    <row r="981" spans="1:31" ht="15.75" customHeight="1">
      <c r="A981" s="42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</row>
    <row r="982" spans="1:31" ht="15.75" customHeight="1">
      <c r="A982" s="42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</row>
    <row r="983" spans="1:31" ht="15.75" customHeight="1">
      <c r="A983" s="42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</row>
    <row r="984" spans="1:31" ht="15.75" customHeight="1">
      <c r="A984" s="42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</row>
    <row r="985" spans="1:31" ht="15.75" customHeight="1">
      <c r="A985" s="42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</row>
    <row r="986" spans="1:31" ht="15.75" customHeight="1">
      <c r="A986" s="42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</row>
    <row r="987" spans="1:31" ht="15.75" customHeight="1">
      <c r="A987" s="42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</row>
    <row r="988" spans="1:31" ht="15.75" customHeight="1">
      <c r="A988" s="42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</row>
    <row r="989" spans="1:31" ht="15.75" customHeight="1">
      <c r="A989" s="42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</row>
    <row r="990" spans="1:31" ht="15.75" customHeight="1">
      <c r="A990" s="42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</row>
    <row r="991" spans="1:31" ht="15.75" customHeight="1">
      <c r="A991" s="42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</row>
    <row r="992" spans="1:31" ht="15.75" customHeight="1">
      <c r="A992" s="42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</row>
    <row r="993" spans="1:31" ht="15.75" customHeight="1">
      <c r="A993" s="42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</row>
    <row r="994" spans="1:31" ht="15.75" customHeight="1">
      <c r="A994" s="42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</row>
    <row r="995" spans="1:31" ht="15.75" customHeight="1">
      <c r="A995" s="42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</row>
    <row r="996" spans="1:31" ht="15.75" customHeight="1">
      <c r="A996" s="42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</row>
    <row r="997" spans="1:31" ht="15.75" customHeight="1">
      <c r="A997" s="42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</row>
    <row r="998" spans="1:31" ht="15.75" customHeight="1">
      <c r="A998" s="42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</row>
    <row r="999" spans="1:31" ht="15.75" customHeight="1">
      <c r="A999" s="42"/>
      <c r="B999" s="42"/>
      <c r="C999" s="42"/>
      <c r="D999" s="42"/>
      <c r="E999" s="42"/>
      <c r="F999" s="42"/>
      <c r="G999" s="4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</row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5"/>
  <sheetViews>
    <sheetView workbookViewId="0"/>
  </sheetViews>
  <sheetFormatPr defaultColWidth="12.6640625" defaultRowHeight="15" customHeight="1"/>
  <sheetData>
    <row r="1" spans="1:12">
      <c r="A1" s="43" t="s">
        <v>400</v>
      </c>
      <c r="B1" s="44" t="s">
        <v>401</v>
      </c>
      <c r="C1" s="44" t="s">
        <v>402</v>
      </c>
      <c r="D1" s="44" t="s">
        <v>403</v>
      </c>
      <c r="E1" s="45" t="s">
        <v>404</v>
      </c>
      <c r="F1" s="45" t="s">
        <v>405</v>
      </c>
      <c r="G1" s="45" t="s">
        <v>406</v>
      </c>
      <c r="H1" s="46" t="s">
        <v>407</v>
      </c>
      <c r="I1" s="45" t="s">
        <v>408</v>
      </c>
      <c r="J1" s="45" t="s">
        <v>409</v>
      </c>
      <c r="K1" s="45" t="s">
        <v>410</v>
      </c>
      <c r="L1" s="45" t="s">
        <v>411</v>
      </c>
    </row>
    <row r="2" spans="1:12">
      <c r="A2" s="35">
        <v>1</v>
      </c>
      <c r="B2" s="47" t="s">
        <v>412</v>
      </c>
      <c r="C2" s="48" t="s">
        <v>413</v>
      </c>
      <c r="D2" s="48" t="s">
        <v>414</v>
      </c>
      <c r="E2" s="48" t="s">
        <v>415</v>
      </c>
      <c r="F2" s="48" t="s">
        <v>416</v>
      </c>
      <c r="G2" s="48" t="s">
        <v>417</v>
      </c>
      <c r="H2" s="49">
        <v>46056</v>
      </c>
      <c r="I2" s="48" t="s">
        <v>418</v>
      </c>
      <c r="J2" s="48">
        <v>6</v>
      </c>
      <c r="K2" s="48" t="s">
        <v>27</v>
      </c>
      <c r="L2" s="50"/>
    </row>
    <row r="3" spans="1:12">
      <c r="A3" s="51">
        <v>2</v>
      </c>
      <c r="B3" s="52" t="s">
        <v>419</v>
      </c>
      <c r="C3" s="48" t="s">
        <v>420</v>
      </c>
      <c r="D3" s="48" t="s">
        <v>414</v>
      </c>
      <c r="E3" s="48" t="s">
        <v>415</v>
      </c>
      <c r="F3" s="48" t="s">
        <v>416</v>
      </c>
      <c r="G3" s="48" t="s">
        <v>417</v>
      </c>
      <c r="H3" s="49">
        <v>46056</v>
      </c>
      <c r="I3" s="48" t="s">
        <v>421</v>
      </c>
      <c r="J3" s="48">
        <v>3</v>
      </c>
      <c r="K3" s="48" t="s">
        <v>27</v>
      </c>
      <c r="L3" s="50"/>
    </row>
    <row r="4" spans="1:12">
      <c r="A4" s="51">
        <v>3</v>
      </c>
      <c r="B4" s="52" t="s">
        <v>422</v>
      </c>
      <c r="C4" s="48" t="s">
        <v>420</v>
      </c>
      <c r="D4" s="48" t="s">
        <v>414</v>
      </c>
      <c r="E4" s="48" t="s">
        <v>415</v>
      </c>
      <c r="F4" s="48" t="s">
        <v>416</v>
      </c>
      <c r="G4" s="48" t="s">
        <v>417</v>
      </c>
      <c r="H4" s="49">
        <v>46056</v>
      </c>
      <c r="I4" s="48" t="s">
        <v>421</v>
      </c>
      <c r="J4" s="48">
        <v>3</v>
      </c>
      <c r="K4" s="48" t="s">
        <v>27</v>
      </c>
      <c r="L4" s="50"/>
    </row>
    <row r="5" spans="1:12">
      <c r="A5" s="51">
        <v>4</v>
      </c>
      <c r="B5" s="52" t="s">
        <v>423</v>
      </c>
      <c r="C5" s="48" t="s">
        <v>420</v>
      </c>
      <c r="D5" s="48" t="s">
        <v>414</v>
      </c>
      <c r="E5" s="48" t="s">
        <v>415</v>
      </c>
      <c r="F5" s="48" t="s">
        <v>416</v>
      </c>
      <c r="G5" s="48" t="s">
        <v>417</v>
      </c>
      <c r="H5" s="49">
        <v>46056</v>
      </c>
      <c r="I5" s="48" t="s">
        <v>421</v>
      </c>
      <c r="J5" s="48">
        <v>3</v>
      </c>
      <c r="K5" s="48" t="s">
        <v>27</v>
      </c>
      <c r="L5" s="5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B45F06"/>
    <outlinePr summaryBelow="0" summaryRight="0"/>
  </sheetPr>
  <dimension ref="A1:W1000"/>
  <sheetViews>
    <sheetView workbookViewId="0">
      <pane xSplit="3" topLeftCell="D1" activePane="topRight" state="frozen"/>
      <selection pane="topRight" activeCell="E2" sqref="E2"/>
    </sheetView>
  </sheetViews>
  <sheetFormatPr defaultColWidth="12.6640625" defaultRowHeight="15" customHeight="1"/>
  <cols>
    <col min="1" max="1" width="4.88671875" customWidth="1"/>
    <col min="2" max="2" width="11.21875" customWidth="1"/>
    <col min="3" max="3" width="58.6640625" customWidth="1"/>
    <col min="4" max="4" width="30.44140625" hidden="1" customWidth="1"/>
    <col min="5" max="5" width="23.77734375" hidden="1" customWidth="1"/>
    <col min="6" max="6" width="28.33203125" customWidth="1"/>
    <col min="7" max="7" width="33.44140625" customWidth="1"/>
  </cols>
  <sheetData>
    <row r="1" spans="1:7" ht="27.6">
      <c r="A1" s="53" t="s">
        <v>424</v>
      </c>
      <c r="B1" s="53" t="s">
        <v>404</v>
      </c>
      <c r="C1" s="53" t="s">
        <v>425</v>
      </c>
      <c r="D1" s="54" t="s">
        <v>407</v>
      </c>
      <c r="E1" s="53" t="s">
        <v>426</v>
      </c>
      <c r="F1" s="53" t="s">
        <v>427</v>
      </c>
      <c r="G1" s="53" t="s">
        <v>427</v>
      </c>
    </row>
    <row r="2" spans="1:7" ht="42">
      <c r="A2" s="50">
        <v>12</v>
      </c>
      <c r="B2" s="55" t="s">
        <v>82</v>
      </c>
      <c r="C2" s="50" t="s">
        <v>428</v>
      </c>
      <c r="D2" s="50"/>
      <c r="E2" s="50"/>
      <c r="F2" s="56" t="s">
        <v>429</v>
      </c>
      <c r="G2" s="57" t="s">
        <v>430</v>
      </c>
    </row>
    <row r="3" spans="1:7" ht="42" hidden="1">
      <c r="A3" s="50">
        <v>2</v>
      </c>
      <c r="B3" s="55" t="s">
        <v>431</v>
      </c>
      <c r="C3" s="58" t="s">
        <v>432</v>
      </c>
      <c r="D3" s="50"/>
      <c r="E3" s="58"/>
      <c r="F3" s="56" t="s">
        <v>433</v>
      </c>
      <c r="G3" s="57" t="s">
        <v>434</v>
      </c>
    </row>
    <row r="4" spans="1:7" ht="55.8" hidden="1">
      <c r="A4" s="50">
        <v>3</v>
      </c>
      <c r="B4" s="55" t="s">
        <v>26</v>
      </c>
      <c r="C4" s="55" t="s">
        <v>432</v>
      </c>
      <c r="D4" s="50"/>
      <c r="E4" s="55"/>
      <c r="F4" s="56" t="s">
        <v>435</v>
      </c>
      <c r="G4" s="57" t="s">
        <v>436</v>
      </c>
    </row>
    <row r="5" spans="1:7" ht="28.2">
      <c r="A5" s="50">
        <v>20</v>
      </c>
      <c r="B5" s="55" t="s">
        <v>82</v>
      </c>
      <c r="C5" s="55" t="s">
        <v>437</v>
      </c>
      <c r="D5" s="50"/>
      <c r="E5" s="50"/>
      <c r="F5" s="56" t="s">
        <v>438</v>
      </c>
      <c r="G5" s="57" t="s">
        <v>439</v>
      </c>
    </row>
    <row r="6" spans="1:7" ht="55.8" hidden="1">
      <c r="A6" s="50">
        <v>5</v>
      </c>
      <c r="B6" s="55" t="s">
        <v>28</v>
      </c>
      <c r="C6" s="59" t="s">
        <v>432</v>
      </c>
      <c r="D6" s="50"/>
      <c r="E6" s="59"/>
      <c r="F6" s="60" t="s">
        <v>440</v>
      </c>
      <c r="G6" s="57" t="s">
        <v>441</v>
      </c>
    </row>
    <row r="7" spans="1:7" ht="28.2" hidden="1">
      <c r="A7" s="50">
        <v>6</v>
      </c>
      <c r="B7" s="55" t="s">
        <v>31</v>
      </c>
      <c r="C7" s="55" t="s">
        <v>432</v>
      </c>
      <c r="D7" s="50"/>
      <c r="E7" s="55"/>
      <c r="F7" s="56" t="s">
        <v>442</v>
      </c>
      <c r="G7" s="57" t="s">
        <v>443</v>
      </c>
    </row>
    <row r="8" spans="1:7" ht="55.8">
      <c r="A8" s="50">
        <v>1</v>
      </c>
      <c r="B8" s="55" t="s">
        <v>92</v>
      </c>
      <c r="C8" s="59" t="s">
        <v>444</v>
      </c>
      <c r="D8" s="50"/>
      <c r="E8" s="61"/>
      <c r="F8" s="60" t="s">
        <v>445</v>
      </c>
      <c r="G8" s="62" t="s">
        <v>446</v>
      </c>
    </row>
    <row r="9" spans="1:7" ht="55.8" hidden="1">
      <c r="A9" s="50">
        <v>8</v>
      </c>
      <c r="B9" s="55" t="s">
        <v>431</v>
      </c>
      <c r="C9" s="55" t="s">
        <v>447</v>
      </c>
      <c r="D9" s="50"/>
      <c r="E9" s="55"/>
      <c r="F9" s="56" t="s">
        <v>448</v>
      </c>
      <c r="G9" s="57" t="s">
        <v>449</v>
      </c>
    </row>
    <row r="10" spans="1:7" ht="42" hidden="1">
      <c r="A10" s="50">
        <v>9</v>
      </c>
      <c r="B10" s="55" t="s">
        <v>26</v>
      </c>
      <c r="C10" s="50" t="s">
        <v>447</v>
      </c>
      <c r="D10" s="50"/>
      <c r="E10" s="55"/>
      <c r="F10" s="56" t="s">
        <v>450</v>
      </c>
      <c r="G10" s="56" t="s">
        <v>450</v>
      </c>
    </row>
    <row r="11" spans="1:7" ht="28.2" hidden="1">
      <c r="A11" s="50">
        <v>10</v>
      </c>
      <c r="B11" s="55" t="s">
        <v>28</v>
      </c>
      <c r="C11" s="59" t="s">
        <v>447</v>
      </c>
      <c r="D11" s="61"/>
      <c r="E11" s="59"/>
      <c r="F11" s="60" t="s">
        <v>451</v>
      </c>
      <c r="G11" s="57" t="s">
        <v>452</v>
      </c>
    </row>
    <row r="12" spans="1:7" ht="28.2" hidden="1">
      <c r="A12" s="50">
        <v>11</v>
      </c>
      <c r="B12" s="55" t="s">
        <v>31</v>
      </c>
      <c r="C12" s="55" t="s">
        <v>447</v>
      </c>
      <c r="D12" s="50"/>
      <c r="E12" s="50"/>
      <c r="F12" s="56" t="s">
        <v>453</v>
      </c>
      <c r="G12" s="57" t="s">
        <v>454</v>
      </c>
    </row>
    <row r="13" spans="1:7" ht="28.2">
      <c r="A13" s="50">
        <v>19</v>
      </c>
      <c r="B13" s="55" t="s">
        <v>92</v>
      </c>
      <c r="C13" s="55" t="s">
        <v>455</v>
      </c>
      <c r="D13" s="50"/>
      <c r="E13" s="50"/>
      <c r="F13" s="56" t="s">
        <v>456</v>
      </c>
      <c r="G13" s="57" t="s">
        <v>457</v>
      </c>
    </row>
    <row r="14" spans="1:7" ht="14.4" hidden="1">
      <c r="A14" s="50">
        <v>13</v>
      </c>
      <c r="B14" s="55" t="s">
        <v>46</v>
      </c>
      <c r="C14" s="55" t="s">
        <v>458</v>
      </c>
      <c r="D14" s="50"/>
      <c r="E14" s="50"/>
      <c r="F14" s="56" t="s">
        <v>459</v>
      </c>
      <c r="G14" s="63" t="s">
        <v>460</v>
      </c>
    </row>
    <row r="15" spans="1:7" ht="14.4" hidden="1">
      <c r="A15" s="50">
        <v>14</v>
      </c>
      <c r="B15" s="55" t="s">
        <v>397</v>
      </c>
      <c r="C15" s="55" t="s">
        <v>458</v>
      </c>
      <c r="D15" s="50"/>
      <c r="E15" s="50"/>
      <c r="F15" s="56" t="s">
        <v>461</v>
      </c>
      <c r="G15" s="63" t="s">
        <v>462</v>
      </c>
    </row>
    <row r="16" spans="1:7" ht="42">
      <c r="A16" s="64">
        <v>25</v>
      </c>
      <c r="B16" s="65" t="s">
        <v>92</v>
      </c>
      <c r="C16" s="65" t="s">
        <v>463</v>
      </c>
      <c r="D16" s="64"/>
      <c r="E16" s="64"/>
      <c r="F16" s="66" t="s">
        <v>464</v>
      </c>
      <c r="G16" s="63" t="s">
        <v>465</v>
      </c>
    </row>
    <row r="17" spans="1:23" ht="28.2" hidden="1">
      <c r="A17" s="50">
        <v>16</v>
      </c>
      <c r="B17" s="55" t="s">
        <v>46</v>
      </c>
      <c r="C17" s="55" t="s">
        <v>466</v>
      </c>
      <c r="D17" s="50"/>
      <c r="E17" s="50"/>
      <c r="F17" s="56" t="s">
        <v>467</v>
      </c>
      <c r="G17" s="63" t="s">
        <v>468</v>
      </c>
    </row>
    <row r="18" spans="1:23" ht="28.2" hidden="1">
      <c r="A18" s="50">
        <v>17</v>
      </c>
      <c r="B18" s="55" t="s">
        <v>397</v>
      </c>
      <c r="C18" s="55" t="s">
        <v>466</v>
      </c>
      <c r="D18" s="50"/>
      <c r="E18" s="50"/>
      <c r="F18" s="56" t="s">
        <v>469</v>
      </c>
      <c r="G18" s="56" t="s">
        <v>469</v>
      </c>
    </row>
    <row r="19" spans="1:23" ht="28.2">
      <c r="A19" s="50">
        <v>15</v>
      </c>
      <c r="B19" s="55" t="s">
        <v>98</v>
      </c>
      <c r="C19" s="55" t="s">
        <v>458</v>
      </c>
      <c r="D19" s="50"/>
      <c r="E19" s="50"/>
      <c r="F19" s="56" t="s">
        <v>459</v>
      </c>
      <c r="G19" s="56" t="s">
        <v>470</v>
      </c>
    </row>
    <row r="20" spans="1:23" ht="28.2">
      <c r="A20" s="50">
        <v>18</v>
      </c>
      <c r="B20" s="55" t="s">
        <v>98</v>
      </c>
      <c r="C20" s="55" t="s">
        <v>466</v>
      </c>
      <c r="D20" s="50"/>
      <c r="E20" s="50"/>
      <c r="F20" s="56" t="s">
        <v>470</v>
      </c>
      <c r="G20" s="56" t="s">
        <v>456</v>
      </c>
    </row>
    <row r="21" spans="1:23" ht="15.75" customHeight="1">
      <c r="A21" s="50">
        <v>4</v>
      </c>
      <c r="B21" s="55" t="s">
        <v>104</v>
      </c>
      <c r="C21" s="67" t="s">
        <v>432</v>
      </c>
      <c r="D21" s="50"/>
      <c r="E21" s="67"/>
      <c r="F21" s="62" t="s">
        <v>471</v>
      </c>
      <c r="G21" s="63" t="s">
        <v>472</v>
      </c>
    </row>
    <row r="22" spans="1:23" ht="15.75" hidden="1" customHeight="1">
      <c r="A22" s="50">
        <v>21</v>
      </c>
      <c r="B22" s="55" t="s">
        <v>473</v>
      </c>
      <c r="C22" s="55" t="s">
        <v>474</v>
      </c>
      <c r="D22" s="50"/>
      <c r="E22" s="50"/>
      <c r="F22" s="56"/>
    </row>
    <row r="23" spans="1:23" ht="15.75" hidden="1" customHeight="1">
      <c r="A23" s="50">
        <v>22</v>
      </c>
      <c r="B23" s="55" t="s">
        <v>473</v>
      </c>
      <c r="C23" s="55" t="s">
        <v>475</v>
      </c>
      <c r="D23" s="50"/>
      <c r="E23" s="50"/>
      <c r="F23" s="56"/>
    </row>
    <row r="24" spans="1:23" ht="15.75" hidden="1" customHeight="1">
      <c r="A24" s="50">
        <v>23</v>
      </c>
      <c r="B24" s="55" t="s">
        <v>431</v>
      </c>
      <c r="C24" s="55" t="s">
        <v>463</v>
      </c>
      <c r="D24" s="50"/>
      <c r="E24" s="50"/>
      <c r="F24" s="56" t="s">
        <v>476</v>
      </c>
      <c r="G24" s="63" t="s">
        <v>477</v>
      </c>
    </row>
    <row r="25" spans="1:23" ht="15.75" hidden="1" customHeight="1">
      <c r="A25" s="50">
        <v>24</v>
      </c>
      <c r="B25" s="55" t="s">
        <v>26</v>
      </c>
      <c r="C25" s="55" t="s">
        <v>463</v>
      </c>
      <c r="D25" s="50"/>
      <c r="E25" s="50"/>
      <c r="F25" s="56" t="s">
        <v>478</v>
      </c>
      <c r="G25" s="63" t="s">
        <v>479</v>
      </c>
    </row>
    <row r="26" spans="1:23" ht="15.75" customHeight="1">
      <c r="A26" s="50">
        <v>7</v>
      </c>
      <c r="B26" s="55" t="s">
        <v>104</v>
      </c>
      <c r="C26" s="67" t="s">
        <v>480</v>
      </c>
      <c r="D26" s="50"/>
      <c r="E26" s="68"/>
      <c r="F26" s="62" t="s">
        <v>446</v>
      </c>
      <c r="G26" s="69" t="s">
        <v>481</v>
      </c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</row>
    <row r="27" spans="1:23" ht="15.75" customHeight="1">
      <c r="A27" s="64">
        <v>26</v>
      </c>
      <c r="B27" s="65" t="s">
        <v>104</v>
      </c>
      <c r="C27" s="65" t="s">
        <v>463</v>
      </c>
      <c r="D27" s="64"/>
      <c r="E27" s="64"/>
      <c r="F27" s="66" t="s">
        <v>482</v>
      </c>
      <c r="G27" s="69" t="s">
        <v>483</v>
      </c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</row>
    <row r="28" spans="1:23" ht="15.75" hidden="1" customHeight="1">
      <c r="A28" s="55"/>
      <c r="B28" s="55" t="s">
        <v>28</v>
      </c>
      <c r="C28" s="55" t="s">
        <v>463</v>
      </c>
      <c r="D28" s="55"/>
      <c r="E28" s="55"/>
      <c r="F28" s="70" t="s">
        <v>484</v>
      </c>
      <c r="G28" s="63" t="s">
        <v>485</v>
      </c>
    </row>
    <row r="29" spans="1:23" ht="15.75" hidden="1" customHeight="1">
      <c r="A29" s="55"/>
      <c r="B29" s="55" t="s">
        <v>31</v>
      </c>
      <c r="C29" s="55" t="s">
        <v>463</v>
      </c>
      <c r="D29" s="55"/>
      <c r="E29" s="55"/>
      <c r="F29" s="70" t="s">
        <v>486</v>
      </c>
      <c r="G29" s="63" t="s">
        <v>487</v>
      </c>
    </row>
    <row r="30" spans="1:23" ht="15.75" hidden="1" customHeight="1">
      <c r="A30" s="55"/>
      <c r="B30" s="55" t="s">
        <v>473</v>
      </c>
      <c r="C30" s="55" t="s">
        <v>488</v>
      </c>
      <c r="D30" s="55"/>
      <c r="E30" s="55"/>
      <c r="F30" s="70"/>
    </row>
    <row r="31" spans="1:23" ht="15.75" hidden="1" customHeight="1">
      <c r="A31" s="55"/>
      <c r="B31" s="55" t="s">
        <v>473</v>
      </c>
      <c r="C31" s="55" t="s">
        <v>489</v>
      </c>
      <c r="D31" s="55"/>
      <c r="E31" s="55"/>
      <c r="F31" s="70"/>
    </row>
    <row r="32" spans="1:23" ht="15.75" hidden="1" customHeight="1">
      <c r="A32" s="55"/>
      <c r="B32" s="55" t="s">
        <v>473</v>
      </c>
      <c r="C32" s="55" t="s">
        <v>490</v>
      </c>
      <c r="D32" s="55"/>
      <c r="E32" s="55"/>
      <c r="F32" s="70"/>
    </row>
    <row r="33" spans="2:6" ht="15.75" hidden="1" customHeight="1">
      <c r="B33" s="63" t="s">
        <v>473</v>
      </c>
      <c r="C33" s="63" t="s">
        <v>491</v>
      </c>
      <c r="F33" s="71"/>
    </row>
    <row r="34" spans="2:6" ht="15.75" hidden="1" customHeight="1">
      <c r="B34" s="63" t="s">
        <v>473</v>
      </c>
      <c r="C34" s="63" t="s">
        <v>492</v>
      </c>
      <c r="F34" s="71"/>
    </row>
    <row r="35" spans="2:6" ht="15.75" customHeight="1">
      <c r="F35" s="71"/>
    </row>
    <row r="36" spans="2:6" ht="15.75" customHeight="1">
      <c r="F36" s="71"/>
    </row>
    <row r="37" spans="2:6" ht="15.75" customHeight="1">
      <c r="F37" s="71"/>
    </row>
    <row r="38" spans="2:6" ht="15.75" customHeight="1">
      <c r="F38" s="71"/>
    </row>
    <row r="39" spans="2:6" ht="15.75" customHeight="1">
      <c r="F39" s="71"/>
    </row>
    <row r="40" spans="2:6" ht="15.75" customHeight="1">
      <c r="F40" s="71"/>
    </row>
    <row r="41" spans="2:6" ht="15.75" customHeight="1">
      <c r="F41" s="71"/>
    </row>
    <row r="42" spans="2:6" ht="15.75" customHeight="1">
      <c r="F42" s="71"/>
    </row>
    <row r="43" spans="2:6" ht="15.75" customHeight="1">
      <c r="F43" s="71"/>
    </row>
    <row r="44" spans="2:6" ht="15.75" customHeight="1">
      <c r="F44" s="71"/>
    </row>
    <row r="45" spans="2:6" ht="15.75" customHeight="1">
      <c r="F45" s="71"/>
    </row>
    <row r="46" spans="2:6" ht="15.75" customHeight="1">
      <c r="F46" s="71"/>
    </row>
    <row r="47" spans="2:6" ht="15.75" customHeight="1">
      <c r="F47" s="71"/>
    </row>
    <row r="48" spans="2:6" ht="15.75" customHeight="1">
      <c r="F48" s="71"/>
    </row>
    <row r="49" spans="6:6" ht="15.75" customHeight="1">
      <c r="F49" s="71"/>
    </row>
    <row r="50" spans="6:6" ht="15.75" customHeight="1">
      <c r="F50" s="71"/>
    </row>
    <row r="51" spans="6:6" ht="15.75" customHeight="1">
      <c r="F51" s="71"/>
    </row>
    <row r="52" spans="6:6" ht="15.75" customHeight="1">
      <c r="F52" s="71"/>
    </row>
    <row r="53" spans="6:6" ht="15.75" customHeight="1">
      <c r="F53" s="71"/>
    </row>
    <row r="54" spans="6:6" ht="15.75" customHeight="1">
      <c r="F54" s="71"/>
    </row>
    <row r="55" spans="6:6" ht="15.75" customHeight="1">
      <c r="F55" s="71"/>
    </row>
    <row r="56" spans="6:6" ht="15.75" customHeight="1">
      <c r="F56" s="71"/>
    </row>
    <row r="57" spans="6:6" ht="15.75" customHeight="1">
      <c r="F57" s="71"/>
    </row>
    <row r="58" spans="6:6" ht="15.75" customHeight="1">
      <c r="F58" s="71"/>
    </row>
    <row r="59" spans="6:6" ht="15.75" customHeight="1">
      <c r="F59" s="71"/>
    </row>
    <row r="60" spans="6:6" ht="15.75" customHeight="1">
      <c r="F60" s="71"/>
    </row>
    <row r="61" spans="6:6" ht="15.75" customHeight="1">
      <c r="F61" s="71"/>
    </row>
    <row r="62" spans="6:6" ht="15.75" customHeight="1">
      <c r="F62" s="71"/>
    </row>
    <row r="63" spans="6:6" ht="15.75" customHeight="1">
      <c r="F63" s="71"/>
    </row>
    <row r="64" spans="6:6" ht="15.75" customHeight="1">
      <c r="F64" s="71"/>
    </row>
    <row r="65" spans="6:6" ht="15.75" customHeight="1">
      <c r="F65" s="71"/>
    </row>
    <row r="66" spans="6:6" ht="15.75" customHeight="1">
      <c r="F66" s="71"/>
    </row>
    <row r="67" spans="6:6" ht="15.75" customHeight="1">
      <c r="F67" s="71"/>
    </row>
    <row r="68" spans="6:6" ht="15.75" customHeight="1">
      <c r="F68" s="71"/>
    </row>
    <row r="69" spans="6:6" ht="15.75" customHeight="1">
      <c r="F69" s="71"/>
    </row>
    <row r="70" spans="6:6" ht="15.75" customHeight="1">
      <c r="F70" s="71"/>
    </row>
    <row r="71" spans="6:6" ht="15.75" customHeight="1">
      <c r="F71" s="71"/>
    </row>
    <row r="72" spans="6:6" ht="15.75" customHeight="1">
      <c r="F72" s="71"/>
    </row>
    <row r="73" spans="6:6" ht="15.75" customHeight="1">
      <c r="F73" s="71"/>
    </row>
    <row r="74" spans="6:6" ht="15.75" customHeight="1">
      <c r="F74" s="71"/>
    </row>
    <row r="75" spans="6:6" ht="15.75" customHeight="1">
      <c r="F75" s="71"/>
    </row>
    <row r="76" spans="6:6" ht="15.75" customHeight="1">
      <c r="F76" s="71"/>
    </row>
    <row r="77" spans="6:6" ht="15.75" customHeight="1">
      <c r="F77" s="71"/>
    </row>
    <row r="78" spans="6:6" ht="15.75" customHeight="1">
      <c r="F78" s="71"/>
    </row>
    <row r="79" spans="6:6" ht="15.75" customHeight="1">
      <c r="F79" s="71"/>
    </row>
    <row r="80" spans="6:6" ht="15.75" customHeight="1">
      <c r="F80" s="71"/>
    </row>
    <row r="81" spans="6:6" ht="15.75" customHeight="1">
      <c r="F81" s="71"/>
    </row>
    <row r="82" spans="6:6" ht="15.75" customHeight="1">
      <c r="F82" s="71"/>
    </row>
    <row r="83" spans="6:6" ht="15.75" customHeight="1">
      <c r="F83" s="71"/>
    </row>
    <row r="84" spans="6:6" ht="15.75" customHeight="1">
      <c r="F84" s="71"/>
    </row>
    <row r="85" spans="6:6" ht="15.75" customHeight="1">
      <c r="F85" s="71"/>
    </row>
    <row r="86" spans="6:6" ht="15.75" customHeight="1">
      <c r="F86" s="71"/>
    </row>
    <row r="87" spans="6:6" ht="15.75" customHeight="1">
      <c r="F87" s="71"/>
    </row>
    <row r="88" spans="6:6" ht="15.75" customHeight="1">
      <c r="F88" s="71"/>
    </row>
    <row r="89" spans="6:6" ht="15.75" customHeight="1">
      <c r="F89" s="71"/>
    </row>
    <row r="90" spans="6:6" ht="15.75" customHeight="1">
      <c r="F90" s="71"/>
    </row>
    <row r="91" spans="6:6" ht="15.75" customHeight="1">
      <c r="F91" s="71"/>
    </row>
    <row r="92" spans="6:6" ht="15.75" customHeight="1">
      <c r="F92" s="71"/>
    </row>
    <row r="93" spans="6:6" ht="15.75" customHeight="1">
      <c r="F93" s="71"/>
    </row>
    <row r="94" spans="6:6" ht="15.75" customHeight="1">
      <c r="F94" s="71"/>
    </row>
    <row r="95" spans="6:6" ht="15.75" customHeight="1">
      <c r="F95" s="71"/>
    </row>
    <row r="96" spans="6:6" ht="15.75" customHeight="1">
      <c r="F96" s="71"/>
    </row>
    <row r="97" spans="6:6" ht="15.75" customHeight="1">
      <c r="F97" s="71"/>
    </row>
    <row r="98" spans="6:6" ht="15.75" customHeight="1">
      <c r="F98" s="71"/>
    </row>
    <row r="99" spans="6:6" ht="15.75" customHeight="1">
      <c r="F99" s="71"/>
    </row>
    <row r="100" spans="6:6" ht="15.75" customHeight="1">
      <c r="F100" s="71"/>
    </row>
    <row r="101" spans="6:6" ht="15.75" customHeight="1">
      <c r="F101" s="71"/>
    </row>
    <row r="102" spans="6:6" ht="15.75" customHeight="1">
      <c r="F102" s="71"/>
    </row>
    <row r="103" spans="6:6" ht="15.75" customHeight="1">
      <c r="F103" s="71"/>
    </row>
    <row r="104" spans="6:6" ht="15.75" customHeight="1">
      <c r="F104" s="71"/>
    </row>
    <row r="105" spans="6:6" ht="15.75" customHeight="1">
      <c r="F105" s="71"/>
    </row>
    <row r="106" spans="6:6" ht="15.75" customHeight="1">
      <c r="F106" s="71"/>
    </row>
    <row r="107" spans="6:6" ht="15.75" customHeight="1">
      <c r="F107" s="71"/>
    </row>
    <row r="108" spans="6:6" ht="15.75" customHeight="1">
      <c r="F108" s="71"/>
    </row>
    <row r="109" spans="6:6" ht="15.75" customHeight="1">
      <c r="F109" s="71"/>
    </row>
    <row r="110" spans="6:6" ht="15.75" customHeight="1">
      <c r="F110" s="71"/>
    </row>
    <row r="111" spans="6:6" ht="15.75" customHeight="1">
      <c r="F111" s="71"/>
    </row>
    <row r="112" spans="6:6" ht="15.75" customHeight="1">
      <c r="F112" s="71"/>
    </row>
    <row r="113" spans="6:6" ht="15.75" customHeight="1">
      <c r="F113" s="71"/>
    </row>
    <row r="114" spans="6:6" ht="15.75" customHeight="1">
      <c r="F114" s="71"/>
    </row>
    <row r="115" spans="6:6" ht="15.75" customHeight="1">
      <c r="F115" s="71"/>
    </row>
    <row r="116" spans="6:6" ht="15.75" customHeight="1">
      <c r="F116" s="71"/>
    </row>
    <row r="117" spans="6:6" ht="15.75" customHeight="1">
      <c r="F117" s="71"/>
    </row>
    <row r="118" spans="6:6" ht="15.75" customHeight="1">
      <c r="F118" s="71"/>
    </row>
    <row r="119" spans="6:6" ht="15.75" customHeight="1">
      <c r="F119" s="71"/>
    </row>
    <row r="120" spans="6:6" ht="15.75" customHeight="1">
      <c r="F120" s="71"/>
    </row>
    <row r="121" spans="6:6" ht="15.75" customHeight="1">
      <c r="F121" s="71"/>
    </row>
    <row r="122" spans="6:6" ht="15.75" customHeight="1">
      <c r="F122" s="71"/>
    </row>
    <row r="123" spans="6:6" ht="15.75" customHeight="1">
      <c r="F123" s="71"/>
    </row>
    <row r="124" spans="6:6" ht="15.75" customHeight="1">
      <c r="F124" s="71"/>
    </row>
    <row r="125" spans="6:6" ht="15.75" customHeight="1">
      <c r="F125" s="71"/>
    </row>
    <row r="126" spans="6:6" ht="15.75" customHeight="1">
      <c r="F126" s="71"/>
    </row>
    <row r="127" spans="6:6" ht="15.75" customHeight="1">
      <c r="F127" s="71"/>
    </row>
    <row r="128" spans="6:6" ht="15.75" customHeight="1">
      <c r="F128" s="71"/>
    </row>
    <row r="129" spans="6:6" ht="15.75" customHeight="1">
      <c r="F129" s="71"/>
    </row>
    <row r="130" spans="6:6" ht="15.75" customHeight="1">
      <c r="F130" s="71"/>
    </row>
    <row r="131" spans="6:6" ht="15.75" customHeight="1">
      <c r="F131" s="71"/>
    </row>
    <row r="132" spans="6:6" ht="15.75" customHeight="1">
      <c r="F132" s="71"/>
    </row>
    <row r="133" spans="6:6" ht="15.75" customHeight="1">
      <c r="F133" s="71"/>
    </row>
    <row r="134" spans="6:6" ht="15.75" customHeight="1">
      <c r="F134" s="71"/>
    </row>
    <row r="135" spans="6:6" ht="15.75" customHeight="1">
      <c r="F135" s="71"/>
    </row>
    <row r="136" spans="6:6" ht="15.75" customHeight="1">
      <c r="F136" s="71"/>
    </row>
    <row r="137" spans="6:6" ht="15.75" customHeight="1">
      <c r="F137" s="71"/>
    </row>
    <row r="138" spans="6:6" ht="15.75" customHeight="1">
      <c r="F138" s="71"/>
    </row>
    <row r="139" spans="6:6" ht="15.75" customHeight="1">
      <c r="F139" s="71"/>
    </row>
    <row r="140" spans="6:6" ht="15.75" customHeight="1">
      <c r="F140" s="71"/>
    </row>
    <row r="141" spans="6:6" ht="15.75" customHeight="1">
      <c r="F141" s="71"/>
    </row>
    <row r="142" spans="6:6" ht="15.75" customHeight="1">
      <c r="F142" s="71"/>
    </row>
    <row r="143" spans="6:6" ht="15.75" customHeight="1">
      <c r="F143" s="71"/>
    </row>
    <row r="144" spans="6:6" ht="15.75" customHeight="1">
      <c r="F144" s="71"/>
    </row>
    <row r="145" spans="6:6" ht="15.75" customHeight="1">
      <c r="F145" s="71"/>
    </row>
    <row r="146" spans="6:6" ht="15.75" customHeight="1">
      <c r="F146" s="71"/>
    </row>
    <row r="147" spans="6:6" ht="15.75" customHeight="1">
      <c r="F147" s="71"/>
    </row>
    <row r="148" spans="6:6" ht="15.75" customHeight="1">
      <c r="F148" s="71"/>
    </row>
    <row r="149" spans="6:6" ht="15.75" customHeight="1">
      <c r="F149" s="71"/>
    </row>
    <row r="150" spans="6:6" ht="15.75" customHeight="1">
      <c r="F150" s="71"/>
    </row>
    <row r="151" spans="6:6" ht="15.75" customHeight="1">
      <c r="F151" s="71"/>
    </row>
    <row r="152" spans="6:6" ht="15.75" customHeight="1">
      <c r="F152" s="71"/>
    </row>
    <row r="153" spans="6:6" ht="15.75" customHeight="1">
      <c r="F153" s="71"/>
    </row>
    <row r="154" spans="6:6" ht="15.75" customHeight="1">
      <c r="F154" s="71"/>
    </row>
    <row r="155" spans="6:6" ht="15.75" customHeight="1">
      <c r="F155" s="71"/>
    </row>
    <row r="156" spans="6:6" ht="15.75" customHeight="1">
      <c r="F156" s="71"/>
    </row>
    <row r="157" spans="6:6" ht="15.75" customHeight="1">
      <c r="F157" s="71"/>
    </row>
    <row r="158" spans="6:6" ht="15.75" customHeight="1">
      <c r="F158" s="71"/>
    </row>
    <row r="159" spans="6:6" ht="15.75" customHeight="1">
      <c r="F159" s="71"/>
    </row>
    <row r="160" spans="6:6" ht="15.75" customHeight="1">
      <c r="F160" s="71"/>
    </row>
    <row r="161" spans="6:6" ht="15.75" customHeight="1">
      <c r="F161" s="71"/>
    </row>
    <row r="162" spans="6:6" ht="15.75" customHeight="1">
      <c r="F162" s="71"/>
    </row>
    <row r="163" spans="6:6" ht="15.75" customHeight="1">
      <c r="F163" s="71"/>
    </row>
    <row r="164" spans="6:6" ht="15.75" customHeight="1">
      <c r="F164" s="71"/>
    </row>
    <row r="165" spans="6:6" ht="15.75" customHeight="1">
      <c r="F165" s="71"/>
    </row>
    <row r="166" spans="6:6" ht="15.75" customHeight="1">
      <c r="F166" s="71"/>
    </row>
    <row r="167" spans="6:6" ht="15.75" customHeight="1">
      <c r="F167" s="71"/>
    </row>
    <row r="168" spans="6:6" ht="15.75" customHeight="1">
      <c r="F168" s="71"/>
    </row>
    <row r="169" spans="6:6" ht="15.75" customHeight="1">
      <c r="F169" s="71"/>
    </row>
    <row r="170" spans="6:6" ht="15.75" customHeight="1">
      <c r="F170" s="71"/>
    </row>
    <row r="171" spans="6:6" ht="15.75" customHeight="1">
      <c r="F171" s="71"/>
    </row>
    <row r="172" spans="6:6" ht="15.75" customHeight="1">
      <c r="F172" s="71"/>
    </row>
    <row r="173" spans="6:6" ht="15.75" customHeight="1">
      <c r="F173" s="71"/>
    </row>
    <row r="174" spans="6:6" ht="15.75" customHeight="1">
      <c r="F174" s="71"/>
    </row>
    <row r="175" spans="6:6" ht="15.75" customHeight="1">
      <c r="F175" s="71"/>
    </row>
    <row r="176" spans="6:6" ht="15.75" customHeight="1">
      <c r="F176" s="71"/>
    </row>
    <row r="177" spans="6:6" ht="15.75" customHeight="1">
      <c r="F177" s="71"/>
    </row>
    <row r="178" spans="6:6" ht="15.75" customHeight="1">
      <c r="F178" s="71"/>
    </row>
    <row r="179" spans="6:6" ht="15.75" customHeight="1">
      <c r="F179" s="71"/>
    </row>
    <row r="180" spans="6:6" ht="15.75" customHeight="1">
      <c r="F180" s="71"/>
    </row>
    <row r="181" spans="6:6" ht="15.75" customHeight="1">
      <c r="F181" s="71"/>
    </row>
    <row r="182" spans="6:6" ht="15.75" customHeight="1">
      <c r="F182" s="71"/>
    </row>
    <row r="183" spans="6:6" ht="15.75" customHeight="1">
      <c r="F183" s="71"/>
    </row>
    <row r="184" spans="6:6" ht="15.75" customHeight="1">
      <c r="F184" s="71"/>
    </row>
    <row r="185" spans="6:6" ht="15.75" customHeight="1">
      <c r="F185" s="71"/>
    </row>
    <row r="186" spans="6:6" ht="15.75" customHeight="1">
      <c r="F186" s="71"/>
    </row>
    <row r="187" spans="6:6" ht="15.75" customHeight="1">
      <c r="F187" s="71"/>
    </row>
    <row r="188" spans="6:6" ht="15.75" customHeight="1">
      <c r="F188" s="71"/>
    </row>
    <row r="189" spans="6:6" ht="15.75" customHeight="1">
      <c r="F189" s="71"/>
    </row>
    <row r="190" spans="6:6" ht="15.75" customHeight="1">
      <c r="F190" s="71"/>
    </row>
    <row r="191" spans="6:6" ht="15.75" customHeight="1">
      <c r="F191" s="71"/>
    </row>
    <row r="192" spans="6:6" ht="15.75" customHeight="1">
      <c r="F192" s="71"/>
    </row>
    <row r="193" spans="6:6" ht="15.75" customHeight="1">
      <c r="F193" s="71"/>
    </row>
    <row r="194" spans="6:6" ht="15.75" customHeight="1">
      <c r="F194" s="71"/>
    </row>
    <row r="195" spans="6:6" ht="15.75" customHeight="1">
      <c r="F195" s="71"/>
    </row>
    <row r="196" spans="6:6" ht="15.75" customHeight="1">
      <c r="F196" s="71"/>
    </row>
    <row r="197" spans="6:6" ht="15.75" customHeight="1">
      <c r="F197" s="71"/>
    </row>
    <row r="198" spans="6:6" ht="15.75" customHeight="1">
      <c r="F198" s="71"/>
    </row>
    <row r="199" spans="6:6" ht="15.75" customHeight="1">
      <c r="F199" s="71"/>
    </row>
    <row r="200" spans="6:6" ht="15.75" customHeight="1">
      <c r="F200" s="71"/>
    </row>
    <row r="201" spans="6:6" ht="15.75" customHeight="1">
      <c r="F201" s="71"/>
    </row>
    <row r="202" spans="6:6" ht="15.75" customHeight="1">
      <c r="F202" s="71"/>
    </row>
    <row r="203" spans="6:6" ht="15.75" customHeight="1">
      <c r="F203" s="71"/>
    </row>
    <row r="204" spans="6:6" ht="15.75" customHeight="1">
      <c r="F204" s="71"/>
    </row>
    <row r="205" spans="6:6" ht="15.75" customHeight="1">
      <c r="F205" s="71"/>
    </row>
    <row r="206" spans="6:6" ht="15.75" customHeight="1">
      <c r="F206" s="71"/>
    </row>
    <row r="207" spans="6:6" ht="15.75" customHeight="1">
      <c r="F207" s="71"/>
    </row>
    <row r="208" spans="6:6" ht="15.75" customHeight="1">
      <c r="F208" s="71"/>
    </row>
    <row r="209" spans="6:6" ht="15.75" customHeight="1">
      <c r="F209" s="71"/>
    </row>
    <row r="210" spans="6:6" ht="15.75" customHeight="1">
      <c r="F210" s="71"/>
    </row>
    <row r="211" spans="6:6" ht="15.75" customHeight="1">
      <c r="F211" s="71"/>
    </row>
    <row r="212" spans="6:6" ht="15.75" customHeight="1">
      <c r="F212" s="71"/>
    </row>
    <row r="213" spans="6:6" ht="15.75" customHeight="1">
      <c r="F213" s="71"/>
    </row>
    <row r="214" spans="6:6" ht="15.75" customHeight="1">
      <c r="F214" s="71"/>
    </row>
    <row r="215" spans="6:6" ht="15.75" customHeight="1">
      <c r="F215" s="71"/>
    </row>
    <row r="216" spans="6:6" ht="15.75" customHeight="1">
      <c r="F216" s="71"/>
    </row>
    <row r="217" spans="6:6" ht="15.75" customHeight="1">
      <c r="F217" s="71"/>
    </row>
    <row r="218" spans="6:6" ht="15.75" customHeight="1">
      <c r="F218" s="71"/>
    </row>
    <row r="219" spans="6:6" ht="15.75" customHeight="1">
      <c r="F219" s="71"/>
    </row>
    <row r="220" spans="6:6" ht="15.75" customHeight="1">
      <c r="F220" s="71"/>
    </row>
    <row r="221" spans="6:6" ht="15.75" customHeight="1">
      <c r="F221" s="71"/>
    </row>
    <row r="222" spans="6:6" ht="15.75" customHeight="1">
      <c r="F222" s="71"/>
    </row>
    <row r="223" spans="6:6" ht="15.75" customHeight="1">
      <c r="F223" s="71"/>
    </row>
    <row r="224" spans="6:6" ht="15.75" customHeight="1">
      <c r="F224" s="71"/>
    </row>
    <row r="225" spans="6:6" ht="15.75" customHeight="1">
      <c r="F225" s="71"/>
    </row>
    <row r="226" spans="6:6" ht="15.75" customHeight="1">
      <c r="F226" s="71"/>
    </row>
    <row r="227" spans="6:6" ht="15.75" customHeight="1">
      <c r="F227" s="71"/>
    </row>
    <row r="228" spans="6:6" ht="15.75" customHeight="1">
      <c r="F228" s="71"/>
    </row>
    <row r="229" spans="6:6" ht="15.75" customHeight="1">
      <c r="F229" s="71"/>
    </row>
    <row r="230" spans="6:6" ht="15.75" customHeight="1">
      <c r="F230" s="71"/>
    </row>
    <row r="231" spans="6:6" ht="15.75" customHeight="1">
      <c r="F231" s="71"/>
    </row>
    <row r="232" spans="6:6" ht="15.75" customHeight="1">
      <c r="F232" s="71"/>
    </row>
    <row r="233" spans="6:6" ht="15.75" customHeight="1">
      <c r="F233" s="71"/>
    </row>
    <row r="234" spans="6:6" ht="15.75" customHeight="1">
      <c r="F234" s="71"/>
    </row>
    <row r="235" spans="6:6" ht="15.75" customHeight="1"/>
    <row r="236" spans="6:6" ht="15.75" customHeight="1"/>
    <row r="237" spans="6:6" ht="15.75" customHeight="1"/>
    <row r="238" spans="6:6" ht="15.75" customHeight="1"/>
    <row r="239" spans="6:6" ht="15.75" customHeight="1"/>
    <row r="240" spans="6: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F34" xr:uid="{00000000-0009-0000-0000-000004000000}">
    <filterColumn colId="1">
      <filters>
        <filter val="ENTREE 29"/>
        <filter val="ENTREE 30"/>
        <filter val="GM 21"/>
        <filter val="GM 22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4E291"/>
  </sheetPr>
  <dimension ref="A1:AG1000"/>
  <sheetViews>
    <sheetView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D8" sqref="D8"/>
    </sheetView>
  </sheetViews>
  <sheetFormatPr defaultColWidth="12.6640625" defaultRowHeight="15" customHeight="1"/>
  <cols>
    <col min="1" max="1" width="1.88671875" customWidth="1"/>
    <col min="2" max="2" width="8.77734375" customWidth="1"/>
    <col min="3" max="4" width="10.6640625" customWidth="1"/>
    <col min="5" max="5" width="12.21875" customWidth="1"/>
    <col min="6" max="10" width="8.77734375" customWidth="1"/>
    <col min="11" max="11" width="8.109375" customWidth="1"/>
    <col min="12" max="13" width="8.77734375" customWidth="1"/>
    <col min="14" max="14" width="12.21875" customWidth="1"/>
    <col min="15" max="22" width="8.77734375" customWidth="1"/>
    <col min="23" max="23" width="12.21875" customWidth="1"/>
    <col min="24" max="33" width="8.77734375" customWidth="1"/>
  </cols>
  <sheetData>
    <row r="1" spans="1:33" ht="14.25" customHeight="1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</row>
    <row r="2" spans="1:33" ht="14.25" customHeight="1">
      <c r="A2" s="72"/>
      <c r="B2" s="266" t="s">
        <v>493</v>
      </c>
      <c r="C2" s="267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</row>
    <row r="3" spans="1:33" ht="14.25" customHeight="1">
      <c r="A3" s="72"/>
      <c r="B3" s="73"/>
      <c r="C3" s="74" t="s">
        <v>494</v>
      </c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</row>
    <row r="4" spans="1:33" ht="14.25" customHeight="1">
      <c r="A4" s="72"/>
      <c r="B4" s="75"/>
      <c r="C4" s="74" t="s">
        <v>495</v>
      </c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</row>
    <row r="5" spans="1:33" ht="14.25" customHeight="1">
      <c r="A5" s="72"/>
      <c r="B5" s="76"/>
      <c r="C5" s="77" t="s">
        <v>496</v>
      </c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268" t="s">
        <v>497</v>
      </c>
      <c r="P5" s="269"/>
      <c r="Q5" s="269"/>
      <c r="R5" s="269"/>
      <c r="S5" s="269"/>
      <c r="T5" s="269"/>
      <c r="U5" s="270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</row>
    <row r="6" spans="1:33" ht="14.25" customHeight="1">
      <c r="A6" s="72"/>
      <c r="B6" s="78" t="s">
        <v>35</v>
      </c>
      <c r="C6" s="74" t="s">
        <v>498</v>
      </c>
      <c r="D6" s="72"/>
      <c r="E6" s="72"/>
      <c r="F6" s="79"/>
      <c r="G6" s="80"/>
      <c r="H6" s="80"/>
      <c r="I6" s="80"/>
      <c r="J6" s="80"/>
      <c r="K6" s="80"/>
      <c r="L6" s="80"/>
      <c r="M6" s="80"/>
      <c r="N6" s="72"/>
      <c r="O6" s="80"/>
      <c r="P6" s="80"/>
      <c r="Q6" s="80"/>
      <c r="R6" s="80"/>
      <c r="S6" s="80"/>
      <c r="T6" s="80"/>
      <c r="U6" s="80"/>
      <c r="V6" s="80"/>
      <c r="W6" s="72"/>
      <c r="X6" s="80"/>
      <c r="Y6" s="80"/>
      <c r="Z6" s="80"/>
      <c r="AA6" s="80"/>
      <c r="AB6" s="80"/>
      <c r="AC6" s="80"/>
      <c r="AD6" s="80"/>
      <c r="AE6" s="72"/>
      <c r="AF6" s="72"/>
      <c r="AG6" s="72"/>
    </row>
    <row r="7" spans="1:33" ht="14.25" customHeight="1">
      <c r="A7" s="72"/>
      <c r="B7" s="81"/>
      <c r="C7" s="82" t="s">
        <v>499</v>
      </c>
      <c r="D7" s="72"/>
      <c r="E7" s="72"/>
      <c r="F7" s="271" t="s">
        <v>500</v>
      </c>
      <c r="G7" s="272"/>
      <c r="H7" s="272"/>
      <c r="I7" s="272"/>
      <c r="J7" s="272"/>
      <c r="K7" s="272"/>
      <c r="L7" s="267"/>
      <c r="M7" s="83"/>
      <c r="N7" s="72"/>
      <c r="O7" s="271" t="s">
        <v>501</v>
      </c>
      <c r="P7" s="272"/>
      <c r="Q7" s="272"/>
      <c r="R7" s="272"/>
      <c r="S7" s="272"/>
      <c r="T7" s="272"/>
      <c r="U7" s="267"/>
      <c r="V7" s="80"/>
      <c r="W7" s="72"/>
      <c r="X7" s="271" t="s">
        <v>502</v>
      </c>
      <c r="Y7" s="272"/>
      <c r="Z7" s="272"/>
      <c r="AA7" s="272"/>
      <c r="AB7" s="272"/>
      <c r="AC7" s="272"/>
      <c r="AD7" s="267"/>
      <c r="AE7" s="72"/>
      <c r="AF7" s="72"/>
      <c r="AG7" s="72"/>
    </row>
    <row r="8" spans="1:33" ht="14.25" customHeight="1">
      <c r="A8" s="72"/>
      <c r="B8" s="72"/>
      <c r="C8" s="72"/>
      <c r="D8" s="72"/>
      <c r="E8" s="84" t="s">
        <v>503</v>
      </c>
      <c r="F8" s="85" t="s">
        <v>504</v>
      </c>
      <c r="G8" s="86" t="s">
        <v>505</v>
      </c>
      <c r="H8" s="86" t="s">
        <v>506</v>
      </c>
      <c r="I8" s="86" t="s">
        <v>507</v>
      </c>
      <c r="J8" s="86" t="s">
        <v>508</v>
      </c>
      <c r="K8" s="87" t="s">
        <v>509</v>
      </c>
      <c r="L8" s="88" t="s">
        <v>510</v>
      </c>
      <c r="M8" s="89"/>
      <c r="N8" s="84" t="s">
        <v>503</v>
      </c>
      <c r="O8" s="85" t="s">
        <v>504</v>
      </c>
      <c r="P8" s="86" t="s">
        <v>505</v>
      </c>
      <c r="Q8" s="86" t="s">
        <v>506</v>
      </c>
      <c r="R8" s="86" t="s">
        <v>507</v>
      </c>
      <c r="S8" s="86" t="s">
        <v>508</v>
      </c>
      <c r="T8" s="87" t="s">
        <v>509</v>
      </c>
      <c r="U8" s="88" t="s">
        <v>510</v>
      </c>
      <c r="V8" s="79"/>
      <c r="W8" s="84" t="s">
        <v>503</v>
      </c>
      <c r="X8" s="85" t="s">
        <v>504</v>
      </c>
      <c r="Y8" s="86" t="s">
        <v>505</v>
      </c>
      <c r="Z8" s="86" t="s">
        <v>506</v>
      </c>
      <c r="AA8" s="86" t="s">
        <v>507</v>
      </c>
      <c r="AB8" s="86" t="s">
        <v>508</v>
      </c>
      <c r="AC8" s="87" t="s">
        <v>509</v>
      </c>
      <c r="AD8" s="88" t="s">
        <v>510</v>
      </c>
      <c r="AE8" s="72"/>
      <c r="AF8" s="72"/>
      <c r="AG8" s="90"/>
    </row>
    <row r="9" spans="1:33" ht="14.25" customHeight="1">
      <c r="A9" s="72"/>
      <c r="D9" s="84"/>
      <c r="E9" s="72"/>
      <c r="F9" s="91">
        <v>1</v>
      </c>
      <c r="G9" s="86">
        <f t="shared" ref="G9:L9" si="0">F9+1</f>
        <v>2</v>
      </c>
      <c r="H9" s="86">
        <f t="shared" si="0"/>
        <v>3</v>
      </c>
      <c r="I9" s="86">
        <f t="shared" si="0"/>
        <v>4</v>
      </c>
      <c r="J9" s="86">
        <f t="shared" si="0"/>
        <v>5</v>
      </c>
      <c r="K9" s="86">
        <f t="shared" si="0"/>
        <v>6</v>
      </c>
      <c r="L9" s="86">
        <f t="shared" si="0"/>
        <v>7</v>
      </c>
      <c r="M9" s="89"/>
      <c r="N9" s="72"/>
      <c r="O9" s="86"/>
      <c r="P9" s="86"/>
      <c r="Q9" s="86">
        <f t="shared" ref="Q9:U9" si="1">P9+1</f>
        <v>1</v>
      </c>
      <c r="R9" s="86">
        <f t="shared" si="1"/>
        <v>2</v>
      </c>
      <c r="S9" s="86">
        <f t="shared" si="1"/>
        <v>3</v>
      </c>
      <c r="T9" s="86">
        <f t="shared" si="1"/>
        <v>4</v>
      </c>
      <c r="U9" s="86">
        <f t="shared" si="1"/>
        <v>5</v>
      </c>
      <c r="V9" s="79"/>
      <c r="W9" s="72"/>
      <c r="X9" s="86"/>
      <c r="Y9" s="86"/>
      <c r="Z9" s="86"/>
      <c r="AA9" s="86"/>
      <c r="AB9" s="86"/>
      <c r="AC9" s="86">
        <f t="shared" ref="AC9:AD9" si="2">AB9+1</f>
        <v>1</v>
      </c>
      <c r="AD9" s="86">
        <f t="shared" si="2"/>
        <v>2</v>
      </c>
      <c r="AE9" s="72"/>
      <c r="AF9" s="72"/>
      <c r="AG9" s="90"/>
    </row>
    <row r="10" spans="1:33" ht="14.25" customHeight="1">
      <c r="A10" s="72"/>
      <c r="D10" s="72"/>
      <c r="E10" s="92" t="s">
        <v>397</v>
      </c>
      <c r="F10" s="93"/>
      <c r="G10" s="94"/>
      <c r="H10" s="94"/>
      <c r="I10" s="94"/>
      <c r="J10" s="94"/>
      <c r="K10" s="94"/>
      <c r="L10" s="95"/>
      <c r="M10" s="83"/>
      <c r="N10" s="92" t="s">
        <v>397</v>
      </c>
      <c r="O10" s="96"/>
      <c r="P10" s="96"/>
      <c r="Q10" s="97"/>
      <c r="R10" s="97"/>
      <c r="S10" s="94"/>
      <c r="T10" s="94"/>
      <c r="U10" s="95"/>
      <c r="V10" s="80"/>
      <c r="W10" s="92" t="s">
        <v>397</v>
      </c>
      <c r="X10" s="96"/>
      <c r="Y10" s="96"/>
      <c r="Z10" s="96"/>
      <c r="AA10" s="96"/>
      <c r="AB10" s="96"/>
      <c r="AC10" s="94"/>
      <c r="AD10" s="95"/>
      <c r="AE10" s="72"/>
      <c r="AF10" s="98"/>
      <c r="AG10" s="90"/>
    </row>
    <row r="11" spans="1:33" ht="14.25" customHeight="1">
      <c r="A11" s="72"/>
      <c r="D11" s="72"/>
      <c r="E11" s="99" t="s">
        <v>82</v>
      </c>
      <c r="F11" s="100"/>
      <c r="G11" s="101"/>
      <c r="H11" s="101"/>
      <c r="I11" s="101"/>
      <c r="J11" s="101"/>
      <c r="K11" s="101"/>
      <c r="L11" s="102"/>
      <c r="M11" s="83"/>
      <c r="N11" s="99" t="s">
        <v>82</v>
      </c>
      <c r="O11" s="103"/>
      <c r="P11" s="103"/>
      <c r="Q11" s="104"/>
      <c r="R11" s="101"/>
      <c r="S11" s="101"/>
      <c r="T11" s="101"/>
      <c r="U11" s="102"/>
      <c r="V11" s="80"/>
      <c r="W11" s="99" t="s">
        <v>82</v>
      </c>
      <c r="X11" s="103"/>
      <c r="Y11" s="103"/>
      <c r="Z11" s="103"/>
      <c r="AA11" s="103"/>
      <c r="AB11" s="103"/>
      <c r="AC11" s="101"/>
      <c r="AD11" s="102"/>
      <c r="AE11" s="72"/>
      <c r="AF11" s="72"/>
      <c r="AG11" s="72"/>
    </row>
    <row r="12" spans="1:33" ht="14.25" customHeight="1">
      <c r="A12" s="72"/>
      <c r="D12" s="72"/>
      <c r="E12" s="99" t="s">
        <v>92</v>
      </c>
      <c r="F12" s="100"/>
      <c r="G12" s="101"/>
      <c r="H12" s="101"/>
      <c r="I12" s="101"/>
      <c r="J12" s="101"/>
      <c r="K12" s="101"/>
      <c r="L12" s="102"/>
      <c r="M12" s="83"/>
      <c r="N12" s="99" t="s">
        <v>92</v>
      </c>
      <c r="O12" s="103"/>
      <c r="P12" s="103"/>
      <c r="Q12" s="104"/>
      <c r="R12" s="101"/>
      <c r="S12" s="101"/>
      <c r="T12" s="101"/>
      <c r="U12" s="102"/>
      <c r="V12" s="80"/>
      <c r="W12" s="99" t="s">
        <v>92</v>
      </c>
      <c r="X12" s="103"/>
      <c r="Y12" s="103"/>
      <c r="Z12" s="103"/>
      <c r="AA12" s="103"/>
      <c r="AB12" s="103"/>
      <c r="AC12" s="101"/>
      <c r="AD12" s="102"/>
      <c r="AE12" s="72"/>
      <c r="AF12" s="72"/>
      <c r="AG12" s="72"/>
    </row>
    <row r="13" spans="1:33" ht="14.25" customHeight="1">
      <c r="A13" s="72"/>
      <c r="D13" s="72"/>
      <c r="E13" s="105" t="s">
        <v>98</v>
      </c>
      <c r="F13" s="100"/>
      <c r="G13" s="101"/>
      <c r="H13" s="101"/>
      <c r="I13" s="101"/>
      <c r="J13" s="101"/>
      <c r="K13" s="101"/>
      <c r="L13" s="102"/>
      <c r="M13" s="83"/>
      <c r="N13" s="105" t="s">
        <v>98</v>
      </c>
      <c r="O13" s="103"/>
      <c r="P13" s="103"/>
      <c r="Q13" s="104"/>
      <c r="R13" s="101"/>
      <c r="S13" s="101"/>
      <c r="T13" s="101"/>
      <c r="U13" s="102"/>
      <c r="V13" s="80"/>
      <c r="W13" s="105" t="s">
        <v>98</v>
      </c>
      <c r="X13" s="103"/>
      <c r="Y13" s="103"/>
      <c r="Z13" s="103"/>
      <c r="AA13" s="103"/>
      <c r="AB13" s="103"/>
      <c r="AC13" s="101"/>
      <c r="AD13" s="102"/>
      <c r="AE13" s="72"/>
      <c r="AF13" s="72"/>
      <c r="AG13" s="72"/>
    </row>
    <row r="14" spans="1:33" ht="14.25" customHeight="1">
      <c r="A14" s="72"/>
      <c r="D14" s="72"/>
      <c r="E14" s="105" t="s">
        <v>104</v>
      </c>
      <c r="F14" s="100"/>
      <c r="G14" s="101"/>
      <c r="H14" s="101"/>
      <c r="I14" s="101"/>
      <c r="J14" s="101"/>
      <c r="K14" s="101"/>
      <c r="L14" s="102"/>
      <c r="M14" s="83"/>
      <c r="N14" s="105" t="s">
        <v>104</v>
      </c>
      <c r="O14" s="103"/>
      <c r="P14" s="103"/>
      <c r="Q14" s="104"/>
      <c r="R14" s="101"/>
      <c r="S14" s="101"/>
      <c r="T14" s="101"/>
      <c r="U14" s="102"/>
      <c r="V14" s="80"/>
      <c r="W14" s="105" t="s">
        <v>104</v>
      </c>
      <c r="X14" s="103"/>
      <c r="Y14" s="103"/>
      <c r="Z14" s="103"/>
      <c r="AA14" s="103"/>
      <c r="AB14" s="103"/>
      <c r="AC14" s="101"/>
      <c r="AD14" s="102"/>
      <c r="AE14" s="72"/>
      <c r="AF14" s="72"/>
      <c r="AG14" s="72"/>
    </row>
    <row r="15" spans="1:33" ht="14.25" customHeight="1">
      <c r="A15" s="72"/>
      <c r="B15" s="72"/>
      <c r="C15" s="72"/>
      <c r="D15" s="72"/>
      <c r="E15" s="106" t="s">
        <v>46</v>
      </c>
      <c r="F15" s="100"/>
      <c r="G15" s="101"/>
      <c r="H15" s="101"/>
      <c r="I15" s="101"/>
      <c r="J15" s="101"/>
      <c r="K15" s="101"/>
      <c r="L15" s="102"/>
      <c r="M15" s="83"/>
      <c r="N15" s="106" t="s">
        <v>46</v>
      </c>
      <c r="O15" s="103"/>
      <c r="P15" s="103"/>
      <c r="Q15" s="101"/>
      <c r="R15" s="101"/>
      <c r="S15" s="101"/>
      <c r="T15" s="101"/>
      <c r="U15" s="102"/>
      <c r="V15" s="80"/>
      <c r="W15" s="106" t="s">
        <v>46</v>
      </c>
      <c r="X15" s="103"/>
      <c r="Y15" s="103"/>
      <c r="Z15" s="103"/>
      <c r="AA15" s="103"/>
      <c r="AB15" s="103"/>
      <c r="AC15" s="101"/>
      <c r="AD15" s="102"/>
      <c r="AE15" s="72"/>
      <c r="AF15" s="72"/>
      <c r="AG15" s="72"/>
    </row>
    <row r="16" spans="1:33" ht="14.25" customHeight="1">
      <c r="A16" s="72"/>
      <c r="B16" s="72"/>
      <c r="C16" s="72"/>
      <c r="D16" s="72"/>
      <c r="E16" s="106" t="s">
        <v>19</v>
      </c>
      <c r="F16" s="100"/>
      <c r="G16" s="101"/>
      <c r="H16" s="101"/>
      <c r="I16" s="101"/>
      <c r="J16" s="101"/>
      <c r="K16" s="101"/>
      <c r="L16" s="102"/>
      <c r="M16" s="83"/>
      <c r="N16" s="106" t="s">
        <v>19</v>
      </c>
      <c r="O16" s="103"/>
      <c r="P16" s="103"/>
      <c r="Q16" s="101"/>
      <c r="R16" s="101"/>
      <c r="S16" s="101"/>
      <c r="T16" s="107"/>
      <c r="U16" s="107"/>
      <c r="V16" s="80"/>
      <c r="W16" s="106" t="s">
        <v>19</v>
      </c>
      <c r="X16" s="103"/>
      <c r="Y16" s="103"/>
      <c r="Z16" s="103"/>
      <c r="AA16" s="103"/>
      <c r="AB16" s="103"/>
      <c r="AC16" s="101"/>
      <c r="AD16" s="102"/>
      <c r="AE16" s="72"/>
      <c r="AF16" s="72"/>
      <c r="AG16" s="72"/>
    </row>
    <row r="17" spans="1:33" ht="14.25" customHeight="1">
      <c r="A17" s="72"/>
      <c r="B17" s="72"/>
      <c r="C17" s="72"/>
      <c r="D17" s="72"/>
      <c r="E17" s="106" t="s">
        <v>25</v>
      </c>
      <c r="F17" s="100"/>
      <c r="G17" s="101"/>
      <c r="H17" s="101"/>
      <c r="I17" s="101"/>
      <c r="J17" s="101"/>
      <c r="K17" s="101"/>
      <c r="L17" s="102"/>
      <c r="M17" s="83"/>
      <c r="N17" s="106" t="s">
        <v>25</v>
      </c>
      <c r="O17" s="103"/>
      <c r="P17" s="103"/>
      <c r="Q17" s="101"/>
      <c r="R17" s="101"/>
      <c r="S17" s="101"/>
      <c r="T17" s="107"/>
      <c r="U17" s="107"/>
      <c r="V17" s="80"/>
      <c r="W17" s="106" t="s">
        <v>25</v>
      </c>
      <c r="X17" s="103"/>
      <c r="Y17" s="103"/>
      <c r="Z17" s="103"/>
      <c r="AA17" s="103"/>
      <c r="AB17" s="103"/>
      <c r="AC17" s="101"/>
      <c r="AD17" s="102"/>
      <c r="AE17" s="72"/>
      <c r="AF17" s="72"/>
      <c r="AG17" s="72"/>
    </row>
    <row r="18" spans="1:33" ht="14.25" customHeight="1">
      <c r="A18" s="72"/>
      <c r="B18" s="72"/>
      <c r="C18" s="72"/>
      <c r="D18" s="72"/>
      <c r="E18" s="108" t="s">
        <v>31</v>
      </c>
      <c r="F18" s="100"/>
      <c r="G18" s="101"/>
      <c r="H18" s="101"/>
      <c r="I18" s="101"/>
      <c r="J18" s="101"/>
      <c r="K18" s="101"/>
      <c r="L18" s="102"/>
      <c r="M18" s="83"/>
      <c r="N18" s="108" t="s">
        <v>31</v>
      </c>
      <c r="O18" s="103"/>
      <c r="P18" s="103"/>
      <c r="Q18" s="101"/>
      <c r="R18" s="101"/>
      <c r="S18" s="101"/>
      <c r="T18" s="107"/>
      <c r="U18" s="107"/>
      <c r="V18" s="80"/>
      <c r="W18" s="108" t="s">
        <v>31</v>
      </c>
      <c r="X18" s="103"/>
      <c r="Y18" s="103"/>
      <c r="Z18" s="103"/>
      <c r="AA18" s="103"/>
      <c r="AB18" s="103"/>
      <c r="AC18" s="101"/>
      <c r="AD18" s="102"/>
      <c r="AE18" s="72"/>
      <c r="AF18" s="72"/>
      <c r="AG18" s="72"/>
    </row>
    <row r="19" spans="1:33" ht="14.25" customHeight="1">
      <c r="A19" s="72"/>
      <c r="B19" s="72"/>
      <c r="C19" s="72"/>
      <c r="D19" s="72"/>
      <c r="E19" s="108" t="s">
        <v>26</v>
      </c>
      <c r="F19" s="100"/>
      <c r="G19" s="101"/>
      <c r="H19" s="101"/>
      <c r="I19" s="101"/>
      <c r="J19" s="101"/>
      <c r="K19" s="101"/>
      <c r="L19" s="102"/>
      <c r="M19" s="83"/>
      <c r="N19" s="108" t="s">
        <v>26</v>
      </c>
      <c r="O19" s="103"/>
      <c r="P19" s="103"/>
      <c r="Q19" s="101"/>
      <c r="R19" s="101"/>
      <c r="S19" s="101"/>
      <c r="T19" s="107"/>
      <c r="U19" s="107"/>
      <c r="V19" s="80"/>
      <c r="W19" s="108" t="s">
        <v>26</v>
      </c>
      <c r="X19" s="103"/>
      <c r="Y19" s="103"/>
      <c r="Z19" s="103"/>
      <c r="AA19" s="103"/>
      <c r="AB19" s="103"/>
      <c r="AC19" s="101"/>
      <c r="AD19" s="102"/>
      <c r="AE19" s="72"/>
      <c r="AF19" s="72"/>
      <c r="AG19" s="72"/>
    </row>
    <row r="20" spans="1:33" ht="14.25" customHeight="1">
      <c r="A20" s="72"/>
      <c r="B20" s="72"/>
      <c r="C20" s="72"/>
      <c r="D20" s="72"/>
      <c r="E20" s="109" t="s">
        <v>28</v>
      </c>
      <c r="F20" s="110"/>
      <c r="G20" s="111"/>
      <c r="H20" s="111"/>
      <c r="I20" s="111"/>
      <c r="J20" s="111"/>
      <c r="K20" s="101"/>
      <c r="L20" s="102"/>
      <c r="M20" s="83"/>
      <c r="N20" s="109" t="s">
        <v>28</v>
      </c>
      <c r="O20" s="112"/>
      <c r="P20" s="112"/>
      <c r="Q20" s="111"/>
      <c r="R20" s="111"/>
      <c r="S20" s="111"/>
      <c r="T20" s="107"/>
      <c r="U20" s="107"/>
      <c r="V20" s="80"/>
      <c r="W20" s="109" t="s">
        <v>28</v>
      </c>
      <c r="X20" s="112"/>
      <c r="Y20" s="112"/>
      <c r="Z20" s="112"/>
      <c r="AA20" s="112"/>
      <c r="AB20" s="112"/>
      <c r="AC20" s="101"/>
      <c r="AD20" s="102"/>
      <c r="AE20" s="72"/>
      <c r="AF20" s="72"/>
      <c r="AG20" s="72"/>
    </row>
    <row r="21" spans="1:33" ht="14.25" customHeight="1">
      <c r="A21" s="72"/>
      <c r="B21" s="72"/>
      <c r="C21" s="72"/>
      <c r="D21" s="72"/>
      <c r="E21" s="72"/>
      <c r="F21" s="86">
        <f>L9+1</f>
        <v>8</v>
      </c>
      <c r="G21" s="86">
        <f t="shared" ref="G21:L21" si="3">F21+1</f>
        <v>9</v>
      </c>
      <c r="H21" s="86">
        <f t="shared" si="3"/>
        <v>10</v>
      </c>
      <c r="I21" s="86">
        <f t="shared" si="3"/>
        <v>11</v>
      </c>
      <c r="J21" s="86">
        <f t="shared" si="3"/>
        <v>12</v>
      </c>
      <c r="K21" s="86">
        <f t="shared" si="3"/>
        <v>13</v>
      </c>
      <c r="L21" s="86">
        <f t="shared" si="3"/>
        <v>14</v>
      </c>
      <c r="M21" s="89"/>
      <c r="N21" s="72"/>
      <c r="O21" s="86">
        <f>U9+1</f>
        <v>6</v>
      </c>
      <c r="P21" s="86">
        <f t="shared" ref="P21:U21" si="4">O21+1</f>
        <v>7</v>
      </c>
      <c r="Q21" s="86">
        <f t="shared" si="4"/>
        <v>8</v>
      </c>
      <c r="R21" s="86">
        <f t="shared" si="4"/>
        <v>9</v>
      </c>
      <c r="S21" s="86">
        <f t="shared" si="4"/>
        <v>10</v>
      </c>
      <c r="T21" s="86">
        <f t="shared" si="4"/>
        <v>11</v>
      </c>
      <c r="U21" s="86">
        <f t="shared" si="4"/>
        <v>12</v>
      </c>
      <c r="V21" s="79"/>
      <c r="W21" s="72"/>
      <c r="X21" s="86">
        <f>AD9+1</f>
        <v>3</v>
      </c>
      <c r="Y21" s="86">
        <f t="shared" ref="Y21:AD21" si="5">X21+1</f>
        <v>4</v>
      </c>
      <c r="Z21" s="86">
        <f t="shared" si="5"/>
        <v>5</v>
      </c>
      <c r="AA21" s="86">
        <f t="shared" si="5"/>
        <v>6</v>
      </c>
      <c r="AB21" s="86">
        <f t="shared" si="5"/>
        <v>7</v>
      </c>
      <c r="AC21" s="86">
        <f t="shared" si="5"/>
        <v>8</v>
      </c>
      <c r="AD21" s="86">
        <f t="shared" si="5"/>
        <v>9</v>
      </c>
      <c r="AE21" s="72"/>
      <c r="AF21" s="72"/>
      <c r="AG21" s="72"/>
    </row>
    <row r="22" spans="1:33" ht="14.25" customHeight="1">
      <c r="A22" s="72"/>
      <c r="B22" s="72"/>
      <c r="C22" s="72"/>
      <c r="D22" s="72"/>
      <c r="E22" s="92" t="s">
        <v>397</v>
      </c>
      <c r="F22" s="94"/>
      <c r="G22" s="94"/>
      <c r="H22" s="94"/>
      <c r="I22" s="94"/>
      <c r="J22" s="94"/>
      <c r="K22" s="94"/>
      <c r="L22" s="95"/>
      <c r="M22" s="83"/>
      <c r="N22" s="92" t="s">
        <v>397</v>
      </c>
      <c r="O22" s="94"/>
      <c r="P22" s="94"/>
      <c r="Q22" s="94"/>
      <c r="R22" s="94"/>
      <c r="S22" s="94"/>
      <c r="T22" s="94"/>
      <c r="U22" s="95"/>
      <c r="V22" s="80"/>
      <c r="W22" s="92" t="s">
        <v>397</v>
      </c>
      <c r="X22" s="94"/>
      <c r="Y22" s="94"/>
      <c r="Z22" s="94"/>
      <c r="AA22" s="94"/>
      <c r="AB22" s="94"/>
      <c r="AC22" s="94"/>
      <c r="AD22" s="95"/>
      <c r="AE22" s="72"/>
      <c r="AF22" s="72"/>
      <c r="AG22" s="72"/>
    </row>
    <row r="23" spans="1:33" ht="14.25" customHeight="1">
      <c r="A23" s="72"/>
      <c r="B23" s="72"/>
      <c r="C23" s="72"/>
      <c r="D23" s="72"/>
      <c r="E23" s="99" t="s">
        <v>82</v>
      </c>
      <c r="F23" s="101"/>
      <c r="G23" s="101"/>
      <c r="H23" s="101"/>
      <c r="I23" s="101"/>
      <c r="J23" s="101"/>
      <c r="K23" s="101"/>
      <c r="L23" s="102"/>
      <c r="M23" s="83"/>
      <c r="N23" s="99" t="s">
        <v>82</v>
      </c>
      <c r="O23" s="113"/>
      <c r="P23" s="114"/>
      <c r="Q23" s="104"/>
      <c r="R23" s="101"/>
      <c r="S23" s="101"/>
      <c r="T23" s="101"/>
      <c r="U23" s="102"/>
      <c r="V23" s="80"/>
      <c r="W23" s="99" t="s">
        <v>82</v>
      </c>
      <c r="X23" s="113"/>
      <c r="Y23" s="114"/>
      <c r="Z23" s="104"/>
      <c r="AA23" s="101"/>
      <c r="AB23" s="101"/>
      <c r="AC23" s="101"/>
      <c r="AD23" s="102"/>
      <c r="AE23" s="72"/>
      <c r="AF23" s="72"/>
      <c r="AG23" s="72"/>
    </row>
    <row r="24" spans="1:33" ht="14.25" customHeight="1">
      <c r="A24" s="72"/>
      <c r="B24" s="72"/>
      <c r="C24" s="72"/>
      <c r="D24" s="72"/>
      <c r="E24" s="99" t="s">
        <v>92</v>
      </c>
      <c r="F24" s="101"/>
      <c r="G24" s="101"/>
      <c r="H24" s="101"/>
      <c r="I24" s="101"/>
      <c r="J24" s="101"/>
      <c r="K24" s="101"/>
      <c r="L24" s="102"/>
      <c r="M24" s="83"/>
      <c r="N24" s="99" t="s">
        <v>92</v>
      </c>
      <c r="O24" s="113"/>
      <c r="P24" s="114"/>
      <c r="Q24" s="104"/>
      <c r="R24" s="101"/>
      <c r="S24" s="101"/>
      <c r="T24" s="101"/>
      <c r="U24" s="102"/>
      <c r="V24" s="80"/>
      <c r="W24" s="99" t="s">
        <v>92</v>
      </c>
      <c r="X24" s="113"/>
      <c r="Y24" s="114"/>
      <c r="Z24" s="104"/>
      <c r="AA24" s="101"/>
      <c r="AB24" s="101"/>
      <c r="AC24" s="101"/>
      <c r="AD24" s="102"/>
      <c r="AE24" s="72"/>
      <c r="AF24" s="72"/>
      <c r="AG24" s="72"/>
    </row>
    <row r="25" spans="1:33" ht="14.25" customHeight="1">
      <c r="A25" s="72"/>
      <c r="B25" s="72"/>
      <c r="C25" s="72"/>
      <c r="D25" s="72"/>
      <c r="E25" s="105" t="s">
        <v>98</v>
      </c>
      <c r="F25" s="101"/>
      <c r="G25" s="101"/>
      <c r="H25" s="101"/>
      <c r="I25" s="101"/>
      <c r="J25" s="101"/>
      <c r="K25" s="101"/>
      <c r="L25" s="102"/>
      <c r="M25" s="83"/>
      <c r="N25" s="105" t="s">
        <v>98</v>
      </c>
      <c r="O25" s="113"/>
      <c r="P25" s="114"/>
      <c r="Q25" s="104"/>
      <c r="R25" s="101"/>
      <c r="S25" s="101"/>
      <c r="T25" s="101"/>
      <c r="U25" s="102"/>
      <c r="V25" s="80"/>
      <c r="W25" s="105" t="s">
        <v>98</v>
      </c>
      <c r="X25" s="113"/>
      <c r="Y25" s="114"/>
      <c r="Z25" s="104"/>
      <c r="AA25" s="101"/>
      <c r="AB25" s="101"/>
      <c r="AC25" s="101"/>
      <c r="AD25" s="102"/>
      <c r="AE25" s="72"/>
      <c r="AF25" s="72"/>
      <c r="AG25" s="72"/>
    </row>
    <row r="26" spans="1:33" ht="14.25" customHeight="1">
      <c r="A26" s="72"/>
      <c r="B26" s="72"/>
      <c r="C26" s="72"/>
      <c r="D26" s="72"/>
      <c r="E26" s="105" t="s">
        <v>104</v>
      </c>
      <c r="F26" s="101"/>
      <c r="G26" s="101"/>
      <c r="H26" s="101"/>
      <c r="I26" s="101"/>
      <c r="J26" s="101"/>
      <c r="K26" s="101"/>
      <c r="L26" s="102"/>
      <c r="M26" s="83"/>
      <c r="N26" s="105" t="s">
        <v>104</v>
      </c>
      <c r="O26" s="113"/>
      <c r="P26" s="114"/>
      <c r="Q26" s="104"/>
      <c r="R26" s="101"/>
      <c r="S26" s="101"/>
      <c r="T26" s="101"/>
      <c r="U26" s="102"/>
      <c r="V26" s="80"/>
      <c r="W26" s="105" t="s">
        <v>104</v>
      </c>
      <c r="X26" s="113"/>
      <c r="Y26" s="114"/>
      <c r="Z26" s="104"/>
      <c r="AA26" s="101"/>
      <c r="AB26" s="101"/>
      <c r="AC26" s="101"/>
      <c r="AD26" s="102"/>
      <c r="AE26" s="72"/>
      <c r="AF26" s="72"/>
      <c r="AG26" s="72"/>
    </row>
    <row r="27" spans="1:33" ht="14.25" customHeight="1">
      <c r="A27" s="72"/>
      <c r="B27" s="72"/>
      <c r="C27" s="72"/>
      <c r="D27" s="72"/>
      <c r="E27" s="106" t="s">
        <v>46</v>
      </c>
      <c r="F27" s="101"/>
      <c r="G27" s="101"/>
      <c r="H27" s="101"/>
      <c r="I27" s="101"/>
      <c r="J27" s="101"/>
      <c r="K27" s="101"/>
      <c r="L27" s="102"/>
      <c r="M27" s="83"/>
      <c r="N27" s="106" t="s">
        <v>46</v>
      </c>
      <c r="O27" s="101"/>
      <c r="P27" s="101"/>
      <c r="Q27" s="101"/>
      <c r="R27" s="101"/>
      <c r="S27" s="101"/>
      <c r="T27" s="101"/>
      <c r="U27" s="102"/>
      <c r="V27" s="80"/>
      <c r="W27" s="106" t="s">
        <v>46</v>
      </c>
      <c r="X27" s="101"/>
      <c r="Y27" s="101"/>
      <c r="Z27" s="101"/>
      <c r="AA27" s="101"/>
      <c r="AB27" s="101"/>
      <c r="AC27" s="115"/>
      <c r="AD27" s="115"/>
      <c r="AE27" s="72"/>
      <c r="AF27" s="72"/>
      <c r="AG27" s="72"/>
    </row>
    <row r="28" spans="1:33" ht="14.25" customHeight="1">
      <c r="A28" s="72"/>
      <c r="B28" s="72"/>
      <c r="C28" s="72"/>
      <c r="D28" s="72"/>
      <c r="E28" s="106" t="s">
        <v>19</v>
      </c>
      <c r="F28" s="101"/>
      <c r="G28" s="101"/>
      <c r="H28" s="101"/>
      <c r="I28" s="101"/>
      <c r="J28" s="101"/>
      <c r="K28" s="101"/>
      <c r="L28" s="102"/>
      <c r="M28" s="83"/>
      <c r="N28" s="106" t="s">
        <v>19</v>
      </c>
      <c r="O28" s="101"/>
      <c r="P28" s="101"/>
      <c r="Q28" s="101"/>
      <c r="R28" s="101"/>
      <c r="S28" s="101"/>
      <c r="T28" s="101"/>
      <c r="U28" s="102"/>
      <c r="V28" s="80"/>
      <c r="W28" s="106" t="s">
        <v>19</v>
      </c>
      <c r="X28" s="101"/>
      <c r="Y28" s="101"/>
      <c r="Z28" s="101"/>
      <c r="AA28" s="101"/>
      <c r="AB28" s="101"/>
      <c r="AC28" s="104"/>
      <c r="AD28" s="104"/>
      <c r="AE28" s="72"/>
      <c r="AF28" s="72"/>
      <c r="AG28" s="72"/>
    </row>
    <row r="29" spans="1:33" ht="14.25" customHeight="1">
      <c r="A29" s="72"/>
      <c r="B29" s="72"/>
      <c r="C29" s="72"/>
      <c r="D29" s="72"/>
      <c r="E29" s="106" t="s">
        <v>25</v>
      </c>
      <c r="F29" s="101"/>
      <c r="G29" s="101"/>
      <c r="H29" s="101"/>
      <c r="I29" s="101"/>
      <c r="J29" s="101"/>
      <c r="K29" s="101"/>
      <c r="L29" s="102"/>
      <c r="M29" s="83"/>
      <c r="N29" s="106" t="s">
        <v>25</v>
      </c>
      <c r="O29" s="101"/>
      <c r="P29" s="101"/>
      <c r="Q29" s="101"/>
      <c r="R29" s="101"/>
      <c r="S29" s="101"/>
      <c r="T29" s="101"/>
      <c r="U29" s="102"/>
      <c r="V29" s="80"/>
      <c r="W29" s="106" t="s">
        <v>25</v>
      </c>
      <c r="X29" s="101"/>
      <c r="Y29" s="101"/>
      <c r="Z29" s="101"/>
      <c r="AA29" s="101"/>
      <c r="AB29" s="101"/>
      <c r="AC29" s="104"/>
      <c r="AD29" s="104"/>
      <c r="AE29" s="72"/>
      <c r="AF29" s="72"/>
      <c r="AG29" s="72"/>
    </row>
    <row r="30" spans="1:33" ht="14.25" customHeight="1">
      <c r="A30" s="72"/>
      <c r="B30" s="72"/>
      <c r="C30" s="72"/>
      <c r="D30" s="72"/>
      <c r="E30" s="108" t="s">
        <v>31</v>
      </c>
      <c r="F30" s="101"/>
      <c r="G30" s="101"/>
      <c r="H30" s="101"/>
      <c r="I30" s="101"/>
      <c r="J30" s="101"/>
      <c r="K30" s="101"/>
      <c r="L30" s="102"/>
      <c r="M30" s="83"/>
      <c r="N30" s="108" t="s">
        <v>31</v>
      </c>
      <c r="O30" s="101"/>
      <c r="P30" s="101"/>
      <c r="Q30" s="101"/>
      <c r="R30" s="101"/>
      <c r="S30" s="101"/>
      <c r="T30" s="101"/>
      <c r="U30" s="102"/>
      <c r="V30" s="80"/>
      <c r="W30" s="108" t="s">
        <v>31</v>
      </c>
      <c r="X30" s="101"/>
      <c r="Y30" s="101"/>
      <c r="Z30" s="101"/>
      <c r="AA30" s="101"/>
      <c r="AB30" s="101"/>
      <c r="AC30" s="104"/>
      <c r="AD30" s="104"/>
      <c r="AE30" s="72"/>
      <c r="AF30" s="72"/>
      <c r="AG30" s="72"/>
    </row>
    <row r="31" spans="1:33" ht="14.25" customHeight="1">
      <c r="A31" s="72"/>
      <c r="B31" s="72"/>
      <c r="C31" s="72"/>
      <c r="D31" s="72"/>
      <c r="E31" s="108" t="s">
        <v>26</v>
      </c>
      <c r="F31" s="101"/>
      <c r="G31" s="101"/>
      <c r="H31" s="101"/>
      <c r="I31" s="101"/>
      <c r="J31" s="101"/>
      <c r="K31" s="101"/>
      <c r="L31" s="102"/>
      <c r="M31" s="83"/>
      <c r="N31" s="108" t="s">
        <v>26</v>
      </c>
      <c r="O31" s="101"/>
      <c r="P31" s="101"/>
      <c r="Q31" s="101"/>
      <c r="R31" s="101"/>
      <c r="S31" s="101"/>
      <c r="T31" s="101"/>
      <c r="U31" s="102"/>
      <c r="V31" s="80"/>
      <c r="W31" s="108" t="s">
        <v>26</v>
      </c>
      <c r="X31" s="101"/>
      <c r="Y31" s="101"/>
      <c r="Z31" s="101"/>
      <c r="AA31" s="101"/>
      <c r="AB31" s="101"/>
      <c r="AC31" s="104"/>
      <c r="AD31" s="104"/>
      <c r="AE31" s="72"/>
      <c r="AF31" s="72"/>
      <c r="AG31" s="72"/>
    </row>
    <row r="32" spans="1:33" ht="14.25" customHeight="1">
      <c r="A32" s="72"/>
      <c r="B32" s="72"/>
      <c r="C32" s="72"/>
      <c r="D32" s="72"/>
      <c r="E32" s="109" t="s">
        <v>28</v>
      </c>
      <c r="F32" s="111"/>
      <c r="G32" s="111"/>
      <c r="H32" s="111"/>
      <c r="I32" s="111"/>
      <c r="J32" s="111"/>
      <c r="K32" s="101"/>
      <c r="L32" s="102"/>
      <c r="M32" s="83"/>
      <c r="N32" s="109" t="s">
        <v>28</v>
      </c>
      <c r="O32" s="111"/>
      <c r="P32" s="111"/>
      <c r="Q32" s="111"/>
      <c r="R32" s="111"/>
      <c r="S32" s="111"/>
      <c r="T32" s="101"/>
      <c r="U32" s="102"/>
      <c r="V32" s="80"/>
      <c r="W32" s="109" t="s">
        <v>28</v>
      </c>
      <c r="X32" s="111"/>
      <c r="Y32" s="111"/>
      <c r="Z32" s="111"/>
      <c r="AA32" s="111"/>
      <c r="AB32" s="111"/>
      <c r="AC32" s="104"/>
      <c r="AD32" s="104"/>
      <c r="AE32" s="72"/>
      <c r="AF32" s="72"/>
      <c r="AG32" s="72"/>
    </row>
    <row r="33" spans="1:33" ht="14.25" customHeight="1">
      <c r="A33" s="72"/>
      <c r="B33" s="72"/>
      <c r="C33" s="72"/>
      <c r="D33" s="72"/>
      <c r="E33" s="72"/>
      <c r="F33" s="86">
        <f>L21+1</f>
        <v>15</v>
      </c>
      <c r="G33" s="86">
        <f t="shared" ref="G33:L33" si="6">F33+1</f>
        <v>16</v>
      </c>
      <c r="H33" s="86">
        <f t="shared" si="6"/>
        <v>17</v>
      </c>
      <c r="I33" s="86">
        <f t="shared" si="6"/>
        <v>18</v>
      </c>
      <c r="J33" s="86">
        <f t="shared" si="6"/>
        <v>19</v>
      </c>
      <c r="K33" s="86">
        <f t="shared" si="6"/>
        <v>20</v>
      </c>
      <c r="L33" s="86">
        <f t="shared" si="6"/>
        <v>21</v>
      </c>
      <c r="M33" s="89"/>
      <c r="N33" s="72"/>
      <c r="O33" s="86">
        <f>U21+1</f>
        <v>13</v>
      </c>
      <c r="P33" s="86">
        <f t="shared" ref="P33:U33" si="7">O33+1</f>
        <v>14</v>
      </c>
      <c r="Q33" s="86">
        <f t="shared" si="7"/>
        <v>15</v>
      </c>
      <c r="R33" s="86">
        <f t="shared" si="7"/>
        <v>16</v>
      </c>
      <c r="S33" s="86">
        <f t="shared" si="7"/>
        <v>17</v>
      </c>
      <c r="T33" s="86">
        <f t="shared" si="7"/>
        <v>18</v>
      </c>
      <c r="U33" s="86">
        <f t="shared" si="7"/>
        <v>19</v>
      </c>
      <c r="V33" s="79"/>
      <c r="W33" s="72"/>
      <c r="X33" s="86">
        <f>AD21+1</f>
        <v>10</v>
      </c>
      <c r="Y33" s="86">
        <f t="shared" ref="Y33:AD33" si="8">X33+1</f>
        <v>11</v>
      </c>
      <c r="Z33" s="86">
        <f t="shared" si="8"/>
        <v>12</v>
      </c>
      <c r="AA33" s="86">
        <f t="shared" si="8"/>
        <v>13</v>
      </c>
      <c r="AB33" s="86">
        <f t="shared" si="8"/>
        <v>14</v>
      </c>
      <c r="AC33" s="86">
        <f t="shared" si="8"/>
        <v>15</v>
      </c>
      <c r="AD33" s="86">
        <f t="shared" si="8"/>
        <v>16</v>
      </c>
      <c r="AE33" s="72"/>
      <c r="AF33" s="72"/>
      <c r="AG33" s="72"/>
    </row>
    <row r="34" spans="1:33" ht="14.25" customHeight="1">
      <c r="A34" s="72"/>
      <c r="B34" s="72"/>
      <c r="C34" s="72"/>
      <c r="D34" s="72"/>
      <c r="E34" s="92" t="s">
        <v>397</v>
      </c>
      <c r="F34" s="94"/>
      <c r="G34" s="94"/>
      <c r="H34" s="93"/>
      <c r="I34" s="94"/>
      <c r="J34" s="94"/>
      <c r="K34" s="94"/>
      <c r="L34" s="95"/>
      <c r="M34" s="83"/>
      <c r="N34" s="92" t="s">
        <v>397</v>
      </c>
      <c r="O34" s="116"/>
      <c r="P34" s="116"/>
      <c r="Q34" s="97"/>
      <c r="R34" s="97"/>
      <c r="S34" s="94"/>
      <c r="T34" s="94"/>
      <c r="U34" s="95"/>
      <c r="V34" s="80"/>
      <c r="W34" s="92" t="s">
        <v>397</v>
      </c>
      <c r="X34" s="116"/>
      <c r="Y34" s="116"/>
      <c r="Z34" s="97"/>
      <c r="AA34" s="97"/>
      <c r="AB34" s="94"/>
      <c r="AC34" s="94"/>
      <c r="AD34" s="95"/>
      <c r="AE34" s="72"/>
      <c r="AF34" s="72"/>
      <c r="AG34" s="72"/>
    </row>
    <row r="35" spans="1:33" ht="14.25" customHeight="1">
      <c r="A35" s="72"/>
      <c r="B35" s="72"/>
      <c r="C35" s="72"/>
      <c r="D35" s="72"/>
      <c r="E35" s="99" t="s">
        <v>82</v>
      </c>
      <c r="F35" s="101"/>
      <c r="G35" s="101"/>
      <c r="H35" s="100"/>
      <c r="I35" s="101"/>
      <c r="J35" s="101"/>
      <c r="K35" s="101"/>
      <c r="L35" s="102"/>
      <c r="M35" s="83"/>
      <c r="N35" s="99" t="s">
        <v>82</v>
      </c>
      <c r="O35" s="113"/>
      <c r="P35" s="114"/>
      <c r="Q35" s="104"/>
      <c r="R35" s="101"/>
      <c r="S35" s="101"/>
      <c r="T35" s="101"/>
      <c r="U35" s="102"/>
      <c r="V35" s="80"/>
      <c r="W35" s="99" t="s">
        <v>82</v>
      </c>
      <c r="X35" s="101"/>
      <c r="Y35" s="101"/>
      <c r="Z35" s="101"/>
      <c r="AA35" s="101"/>
      <c r="AB35" s="101"/>
      <c r="AC35" s="101"/>
      <c r="AD35" s="102"/>
      <c r="AE35" s="72"/>
      <c r="AF35" s="72"/>
      <c r="AG35" s="72"/>
    </row>
    <row r="36" spans="1:33" ht="14.25" customHeight="1">
      <c r="A36" s="72"/>
      <c r="B36" s="72"/>
      <c r="C36" s="72"/>
      <c r="D36" s="72"/>
      <c r="E36" s="99" t="s">
        <v>92</v>
      </c>
      <c r="F36" s="101"/>
      <c r="G36" s="101"/>
      <c r="H36" s="100"/>
      <c r="I36" s="101"/>
      <c r="J36" s="101"/>
      <c r="K36" s="101"/>
      <c r="L36" s="102"/>
      <c r="M36" s="83"/>
      <c r="N36" s="99" t="s">
        <v>92</v>
      </c>
      <c r="O36" s="113"/>
      <c r="P36" s="114"/>
      <c r="Q36" s="104"/>
      <c r="R36" s="101"/>
      <c r="S36" s="101"/>
      <c r="T36" s="101"/>
      <c r="U36" s="102"/>
      <c r="V36" s="80"/>
      <c r="W36" s="99" t="s">
        <v>92</v>
      </c>
      <c r="X36" s="101"/>
      <c r="Y36" s="101"/>
      <c r="Z36" s="101"/>
      <c r="AA36" s="101"/>
      <c r="AB36" s="101"/>
      <c r="AC36" s="101"/>
      <c r="AD36" s="102"/>
      <c r="AE36" s="72"/>
      <c r="AF36" s="72"/>
      <c r="AG36" s="72"/>
    </row>
    <row r="37" spans="1:33" ht="14.25" customHeight="1">
      <c r="A37" s="72"/>
      <c r="B37" s="72"/>
      <c r="C37" s="72"/>
      <c r="D37" s="72"/>
      <c r="E37" s="105" t="s">
        <v>98</v>
      </c>
      <c r="F37" s="101"/>
      <c r="G37" s="101"/>
      <c r="H37" s="100"/>
      <c r="I37" s="101"/>
      <c r="J37" s="101"/>
      <c r="K37" s="101"/>
      <c r="L37" s="102"/>
      <c r="M37" s="83"/>
      <c r="N37" s="105" t="s">
        <v>98</v>
      </c>
      <c r="O37" s="113"/>
      <c r="P37" s="114"/>
      <c r="Q37" s="104"/>
      <c r="R37" s="101"/>
      <c r="S37" s="101"/>
      <c r="T37" s="101"/>
      <c r="U37" s="102"/>
      <c r="V37" s="80"/>
      <c r="W37" s="105" t="s">
        <v>98</v>
      </c>
      <c r="X37" s="101"/>
      <c r="Y37" s="101"/>
      <c r="Z37" s="101"/>
      <c r="AA37" s="101"/>
      <c r="AB37" s="101"/>
      <c r="AC37" s="101"/>
      <c r="AD37" s="102"/>
      <c r="AE37" s="72"/>
      <c r="AF37" s="72"/>
      <c r="AG37" s="72"/>
    </row>
    <row r="38" spans="1:33" ht="14.25" customHeight="1">
      <c r="A38" s="72"/>
      <c r="B38" s="72"/>
      <c r="C38" s="72"/>
      <c r="D38" s="72"/>
      <c r="E38" s="105" t="s">
        <v>104</v>
      </c>
      <c r="F38" s="101"/>
      <c r="G38" s="101"/>
      <c r="H38" s="100"/>
      <c r="I38" s="101"/>
      <c r="J38" s="101"/>
      <c r="K38" s="101"/>
      <c r="L38" s="102"/>
      <c r="M38" s="83"/>
      <c r="N38" s="105" t="s">
        <v>104</v>
      </c>
      <c r="O38" s="113"/>
      <c r="P38" s="114"/>
      <c r="Q38" s="104"/>
      <c r="R38" s="101"/>
      <c r="S38" s="101"/>
      <c r="T38" s="101"/>
      <c r="U38" s="102"/>
      <c r="V38" s="80"/>
      <c r="W38" s="105" t="s">
        <v>104</v>
      </c>
      <c r="X38" s="101"/>
      <c r="Y38" s="101"/>
      <c r="Z38" s="101"/>
      <c r="AA38" s="101"/>
      <c r="AB38" s="101"/>
      <c r="AC38" s="101"/>
      <c r="AD38" s="102"/>
      <c r="AE38" s="72"/>
      <c r="AF38" s="72"/>
      <c r="AG38" s="72"/>
    </row>
    <row r="39" spans="1:33" ht="14.25" customHeight="1">
      <c r="A39" s="72"/>
      <c r="B39" s="72"/>
      <c r="C39" s="72"/>
      <c r="D39" s="72"/>
      <c r="E39" s="106" t="s">
        <v>46</v>
      </c>
      <c r="F39" s="101"/>
      <c r="G39" s="101"/>
      <c r="H39" s="100"/>
      <c r="I39" s="101"/>
      <c r="J39" s="101"/>
      <c r="K39" s="261" t="s">
        <v>511</v>
      </c>
      <c r="L39" s="262"/>
      <c r="M39" s="83"/>
      <c r="N39" s="106" t="s">
        <v>46</v>
      </c>
      <c r="O39" s="101"/>
      <c r="P39" s="101"/>
      <c r="Q39" s="101"/>
      <c r="R39" s="101"/>
      <c r="S39" s="101"/>
      <c r="T39" s="107"/>
      <c r="U39" s="107"/>
      <c r="V39" s="80"/>
      <c r="W39" s="106" t="s">
        <v>46</v>
      </c>
      <c r="X39" s="101"/>
      <c r="Y39" s="101"/>
      <c r="Z39" s="101"/>
      <c r="AA39" s="101"/>
      <c r="AB39" s="101"/>
      <c r="AC39" s="115"/>
      <c r="AD39" s="115"/>
      <c r="AE39" s="72"/>
      <c r="AF39" s="72"/>
      <c r="AG39" s="72"/>
    </row>
    <row r="40" spans="1:33" ht="14.25" customHeight="1">
      <c r="A40" s="72"/>
      <c r="B40" s="72"/>
      <c r="C40" s="72"/>
      <c r="D40" s="72"/>
      <c r="E40" s="106" t="s">
        <v>19</v>
      </c>
      <c r="F40" s="101"/>
      <c r="G40" s="101"/>
      <c r="H40" s="100"/>
      <c r="I40" s="101"/>
      <c r="J40" s="101"/>
      <c r="K40" s="101"/>
      <c r="L40" s="102"/>
      <c r="M40" s="83"/>
      <c r="N40" s="106" t="s">
        <v>19</v>
      </c>
      <c r="O40" s="101"/>
      <c r="P40" s="101"/>
      <c r="Q40" s="101"/>
      <c r="R40" s="101"/>
      <c r="S40" s="101"/>
      <c r="T40" s="115"/>
      <c r="U40" s="115"/>
      <c r="V40" s="80"/>
      <c r="W40" s="106" t="s">
        <v>19</v>
      </c>
      <c r="X40" s="101"/>
      <c r="Y40" s="101"/>
      <c r="Z40" s="101"/>
      <c r="AA40" s="101"/>
      <c r="AB40" s="101"/>
      <c r="AC40" s="104"/>
      <c r="AD40" s="104"/>
      <c r="AE40" s="72"/>
      <c r="AF40" s="72"/>
      <c r="AG40" s="72"/>
    </row>
    <row r="41" spans="1:33" ht="14.25" customHeight="1">
      <c r="A41" s="72"/>
      <c r="B41" s="72"/>
      <c r="C41" s="72"/>
      <c r="D41" s="72"/>
      <c r="E41" s="106" t="s">
        <v>25</v>
      </c>
      <c r="F41" s="101"/>
      <c r="G41" s="101"/>
      <c r="H41" s="100"/>
      <c r="I41" s="101"/>
      <c r="J41" s="101"/>
      <c r="K41" s="101"/>
      <c r="L41" s="102"/>
      <c r="M41" s="83"/>
      <c r="N41" s="106" t="s">
        <v>25</v>
      </c>
      <c r="O41" s="101"/>
      <c r="P41" s="101"/>
      <c r="Q41" s="101"/>
      <c r="R41" s="101"/>
      <c r="S41" s="101"/>
      <c r="T41" s="115"/>
      <c r="U41" s="115"/>
      <c r="V41" s="80"/>
      <c r="W41" s="106" t="s">
        <v>25</v>
      </c>
      <c r="X41" s="101"/>
      <c r="Y41" s="101"/>
      <c r="Z41" s="101"/>
      <c r="AA41" s="101"/>
      <c r="AB41" s="101"/>
      <c r="AC41" s="104"/>
      <c r="AD41" s="104"/>
      <c r="AE41" s="72"/>
      <c r="AF41" s="72"/>
      <c r="AG41" s="72"/>
    </row>
    <row r="42" spans="1:33" ht="14.25" customHeight="1">
      <c r="A42" s="72"/>
      <c r="B42" s="72"/>
      <c r="C42" s="72"/>
      <c r="D42" s="72"/>
      <c r="E42" s="108" t="s">
        <v>31</v>
      </c>
      <c r="F42" s="101"/>
      <c r="G42" s="101"/>
      <c r="H42" s="100"/>
      <c r="I42" s="101"/>
      <c r="J42" s="101"/>
      <c r="K42" s="101"/>
      <c r="L42" s="102"/>
      <c r="M42" s="83"/>
      <c r="N42" s="108" t="s">
        <v>31</v>
      </c>
      <c r="O42" s="101"/>
      <c r="P42" s="101"/>
      <c r="Q42" s="101"/>
      <c r="R42" s="101"/>
      <c r="S42" s="101"/>
      <c r="T42" s="115"/>
      <c r="U42" s="115"/>
      <c r="V42" s="80"/>
      <c r="W42" s="108" t="s">
        <v>31</v>
      </c>
      <c r="X42" s="101"/>
      <c r="Y42" s="101"/>
      <c r="Z42" s="101"/>
      <c r="AA42" s="101"/>
      <c r="AB42" s="101"/>
      <c r="AC42" s="104"/>
      <c r="AD42" s="104"/>
      <c r="AE42" s="72"/>
      <c r="AF42" s="72"/>
      <c r="AG42" s="72"/>
    </row>
    <row r="43" spans="1:33" ht="14.25" customHeight="1">
      <c r="A43" s="72"/>
      <c r="B43" s="72"/>
      <c r="C43" s="72"/>
      <c r="D43" s="72"/>
      <c r="E43" s="108" t="s">
        <v>26</v>
      </c>
      <c r="F43" s="101"/>
      <c r="G43" s="101"/>
      <c r="H43" s="100"/>
      <c r="I43" s="101"/>
      <c r="J43" s="101"/>
      <c r="K43" s="101"/>
      <c r="L43" s="102"/>
      <c r="M43" s="83"/>
      <c r="N43" s="108" t="s">
        <v>26</v>
      </c>
      <c r="O43" s="101"/>
      <c r="P43" s="101"/>
      <c r="Q43" s="101"/>
      <c r="R43" s="101"/>
      <c r="S43" s="101"/>
      <c r="T43" s="115"/>
      <c r="U43" s="115"/>
      <c r="V43" s="80"/>
      <c r="W43" s="108" t="s">
        <v>26</v>
      </c>
      <c r="X43" s="101"/>
      <c r="Y43" s="101"/>
      <c r="Z43" s="101"/>
      <c r="AA43" s="101"/>
      <c r="AB43" s="101"/>
      <c r="AC43" s="104"/>
      <c r="AD43" s="104"/>
      <c r="AE43" s="72"/>
      <c r="AF43" s="72"/>
      <c r="AG43" s="72"/>
    </row>
    <row r="44" spans="1:33" ht="14.25" customHeight="1">
      <c r="A44" s="72"/>
      <c r="B44" s="72"/>
      <c r="C44" s="72"/>
      <c r="D44" s="72"/>
      <c r="E44" s="109" t="s">
        <v>28</v>
      </c>
      <c r="F44" s="111"/>
      <c r="G44" s="111"/>
      <c r="H44" s="110"/>
      <c r="I44" s="111"/>
      <c r="J44" s="111"/>
      <c r="K44" s="101"/>
      <c r="L44" s="102"/>
      <c r="M44" s="83"/>
      <c r="N44" s="109" t="s">
        <v>28</v>
      </c>
      <c r="O44" s="111"/>
      <c r="P44" s="111"/>
      <c r="Q44" s="111"/>
      <c r="R44" s="111"/>
      <c r="S44" s="111"/>
      <c r="T44" s="115"/>
      <c r="U44" s="115"/>
      <c r="V44" s="80"/>
      <c r="W44" s="109" t="s">
        <v>28</v>
      </c>
      <c r="X44" s="111"/>
      <c r="Y44" s="111"/>
      <c r="Z44" s="111"/>
      <c r="AA44" s="111"/>
      <c r="AB44" s="111"/>
      <c r="AC44" s="104"/>
      <c r="AD44" s="104"/>
      <c r="AE44" s="72"/>
      <c r="AF44" s="72"/>
      <c r="AG44" s="72"/>
    </row>
    <row r="45" spans="1:33" ht="14.25" customHeight="1">
      <c r="A45" s="72"/>
      <c r="B45" s="72"/>
      <c r="C45" s="72"/>
      <c r="D45" s="72"/>
      <c r="E45" s="72"/>
      <c r="F45" s="86">
        <f>L33+1</f>
        <v>22</v>
      </c>
      <c r="G45" s="86">
        <f t="shared" ref="G45:L45" si="9">F45+1</f>
        <v>23</v>
      </c>
      <c r="H45" s="86">
        <f t="shared" si="9"/>
        <v>24</v>
      </c>
      <c r="I45" s="86">
        <f t="shared" si="9"/>
        <v>25</v>
      </c>
      <c r="J45" s="86">
        <f t="shared" si="9"/>
        <v>26</v>
      </c>
      <c r="K45" s="86">
        <f t="shared" si="9"/>
        <v>27</v>
      </c>
      <c r="L45" s="86">
        <f t="shared" si="9"/>
        <v>28</v>
      </c>
      <c r="M45" s="89"/>
      <c r="N45" s="72"/>
      <c r="O45" s="86">
        <f>U33+1</f>
        <v>20</v>
      </c>
      <c r="P45" s="86">
        <f t="shared" ref="P45:U45" si="10">O45+1</f>
        <v>21</v>
      </c>
      <c r="Q45" s="86">
        <f t="shared" si="10"/>
        <v>22</v>
      </c>
      <c r="R45" s="86">
        <f t="shared" si="10"/>
        <v>23</v>
      </c>
      <c r="S45" s="86">
        <f t="shared" si="10"/>
        <v>24</v>
      </c>
      <c r="T45" s="86">
        <f t="shared" si="10"/>
        <v>25</v>
      </c>
      <c r="U45" s="86">
        <f t="shared" si="10"/>
        <v>26</v>
      </c>
      <c r="V45" s="79"/>
      <c r="W45" s="72"/>
      <c r="X45" s="86">
        <f>AD33+1</f>
        <v>17</v>
      </c>
      <c r="Y45" s="86">
        <f t="shared" ref="Y45:AD45" si="11">X45+1</f>
        <v>18</v>
      </c>
      <c r="Z45" s="86">
        <f t="shared" si="11"/>
        <v>19</v>
      </c>
      <c r="AA45" s="86">
        <f t="shared" si="11"/>
        <v>20</v>
      </c>
      <c r="AB45" s="86">
        <f t="shared" si="11"/>
        <v>21</v>
      </c>
      <c r="AC45" s="86">
        <f t="shared" si="11"/>
        <v>22</v>
      </c>
      <c r="AD45" s="86">
        <f t="shared" si="11"/>
        <v>23</v>
      </c>
      <c r="AE45" s="72"/>
      <c r="AF45" s="72"/>
      <c r="AG45" s="72"/>
    </row>
    <row r="46" spans="1:33" ht="14.25" customHeight="1">
      <c r="A46" s="72"/>
      <c r="B46" s="72"/>
      <c r="C46" s="72"/>
      <c r="D46" s="72"/>
      <c r="E46" s="92" t="s">
        <v>397</v>
      </c>
      <c r="F46" s="94"/>
      <c r="G46" s="94"/>
      <c r="H46" s="94"/>
      <c r="I46" s="94"/>
      <c r="J46" s="94"/>
      <c r="K46" s="94"/>
      <c r="L46" s="95"/>
      <c r="M46" s="83"/>
      <c r="N46" s="92" t="s">
        <v>397</v>
      </c>
      <c r="O46" s="94"/>
      <c r="P46" s="94"/>
      <c r="Q46" s="94"/>
      <c r="R46" s="94"/>
      <c r="S46" s="94"/>
      <c r="T46" s="94"/>
      <c r="U46" s="95"/>
      <c r="V46" s="80"/>
      <c r="W46" s="92" t="s">
        <v>397</v>
      </c>
      <c r="X46" s="93"/>
      <c r="Y46" s="116"/>
      <c r="Z46" s="97"/>
      <c r="AA46" s="94"/>
      <c r="AB46" s="94"/>
      <c r="AC46" s="94"/>
      <c r="AD46" s="95"/>
      <c r="AE46" s="72"/>
      <c r="AF46" s="72"/>
      <c r="AG46" s="72"/>
    </row>
    <row r="47" spans="1:33" ht="14.25" customHeight="1">
      <c r="A47" s="72"/>
      <c r="B47" s="72"/>
      <c r="C47" s="72"/>
      <c r="D47" s="72"/>
      <c r="E47" s="99" t="s">
        <v>82</v>
      </c>
      <c r="F47" s="101"/>
      <c r="G47" s="101"/>
      <c r="H47" s="101"/>
      <c r="I47" s="101"/>
      <c r="J47" s="101"/>
      <c r="K47" s="101"/>
      <c r="L47" s="102"/>
      <c r="M47" s="83"/>
      <c r="N47" s="99" t="s">
        <v>82</v>
      </c>
      <c r="O47" s="113"/>
      <c r="P47" s="114"/>
      <c r="Q47" s="104"/>
      <c r="R47" s="101"/>
      <c r="S47" s="101"/>
      <c r="T47" s="101"/>
      <c r="U47" s="102"/>
      <c r="V47" s="80"/>
      <c r="W47" s="99" t="s">
        <v>82</v>
      </c>
      <c r="X47" s="100"/>
      <c r="Y47" s="101"/>
      <c r="Z47" s="101"/>
      <c r="AA47" s="101"/>
      <c r="AB47" s="101"/>
      <c r="AC47" s="101"/>
      <c r="AD47" s="102"/>
      <c r="AE47" s="72"/>
      <c r="AF47" s="72"/>
      <c r="AG47" s="72"/>
    </row>
    <row r="48" spans="1:33" ht="14.25" customHeight="1">
      <c r="A48" s="72"/>
      <c r="B48" s="72"/>
      <c r="C48" s="72"/>
      <c r="D48" s="72"/>
      <c r="E48" s="99" t="s">
        <v>92</v>
      </c>
      <c r="F48" s="101"/>
      <c r="G48" s="101"/>
      <c r="H48" s="101"/>
      <c r="I48" s="101"/>
      <c r="J48" s="101"/>
      <c r="K48" s="101"/>
      <c r="L48" s="102"/>
      <c r="M48" s="83"/>
      <c r="N48" s="99" t="s">
        <v>92</v>
      </c>
      <c r="O48" s="113"/>
      <c r="P48" s="114"/>
      <c r="Q48" s="104"/>
      <c r="R48" s="101"/>
      <c r="S48" s="101"/>
      <c r="T48" s="101"/>
      <c r="U48" s="102"/>
      <c r="V48" s="80"/>
      <c r="W48" s="99" t="s">
        <v>92</v>
      </c>
      <c r="X48" s="100"/>
      <c r="Y48" s="101"/>
      <c r="Z48" s="101"/>
      <c r="AA48" s="101"/>
      <c r="AB48" s="101"/>
      <c r="AC48" s="101"/>
      <c r="AD48" s="102"/>
      <c r="AE48" s="72"/>
      <c r="AF48" s="72"/>
      <c r="AG48" s="72"/>
    </row>
    <row r="49" spans="1:33" ht="14.25" customHeight="1">
      <c r="A49" s="72"/>
      <c r="B49" s="72"/>
      <c r="C49" s="72"/>
      <c r="D49" s="72"/>
      <c r="E49" s="105" t="s">
        <v>98</v>
      </c>
      <c r="F49" s="101"/>
      <c r="G49" s="101"/>
      <c r="H49" s="101"/>
      <c r="I49" s="101"/>
      <c r="J49" s="101"/>
      <c r="K49" s="101"/>
      <c r="L49" s="102"/>
      <c r="M49" s="83"/>
      <c r="N49" s="105" t="s">
        <v>98</v>
      </c>
      <c r="O49" s="113"/>
      <c r="P49" s="114"/>
      <c r="Q49" s="104"/>
      <c r="R49" s="101"/>
      <c r="S49" s="101"/>
      <c r="T49" s="101"/>
      <c r="U49" s="102"/>
      <c r="V49" s="80"/>
      <c r="W49" s="105" t="s">
        <v>98</v>
      </c>
      <c r="X49" s="100"/>
      <c r="Y49" s="101"/>
      <c r="Z49" s="101"/>
      <c r="AA49" s="101"/>
      <c r="AB49" s="101"/>
      <c r="AC49" s="101"/>
      <c r="AD49" s="102"/>
      <c r="AE49" s="72"/>
      <c r="AF49" s="72"/>
      <c r="AG49" s="72"/>
    </row>
    <row r="50" spans="1:33" ht="14.25" customHeight="1">
      <c r="A50" s="72"/>
      <c r="B50" s="72"/>
      <c r="C50" s="72"/>
      <c r="D50" s="72"/>
      <c r="E50" s="105" t="s">
        <v>104</v>
      </c>
      <c r="F50" s="101"/>
      <c r="G50" s="101"/>
      <c r="H50" s="101"/>
      <c r="I50" s="101"/>
      <c r="J50" s="101"/>
      <c r="K50" s="101"/>
      <c r="L50" s="102"/>
      <c r="M50" s="83"/>
      <c r="N50" s="105" t="s">
        <v>104</v>
      </c>
      <c r="O50" s="113"/>
      <c r="P50" s="114"/>
      <c r="Q50" s="104"/>
      <c r="R50" s="101"/>
      <c r="S50" s="101"/>
      <c r="T50" s="101"/>
      <c r="U50" s="102"/>
      <c r="V50" s="80"/>
      <c r="W50" s="105" t="s">
        <v>104</v>
      </c>
      <c r="X50" s="100"/>
      <c r="Y50" s="101"/>
      <c r="Z50" s="101"/>
      <c r="AA50" s="101"/>
      <c r="AB50" s="101"/>
      <c r="AC50" s="101"/>
      <c r="AD50" s="102"/>
      <c r="AE50" s="72"/>
      <c r="AF50" s="72"/>
      <c r="AG50" s="72"/>
    </row>
    <row r="51" spans="1:33" ht="14.25" customHeight="1">
      <c r="A51" s="72"/>
      <c r="B51" s="72"/>
      <c r="C51" s="72"/>
      <c r="D51" s="72"/>
      <c r="E51" s="106" t="s">
        <v>46</v>
      </c>
      <c r="F51" s="101"/>
      <c r="G51" s="101"/>
      <c r="H51" s="101"/>
      <c r="I51" s="101"/>
      <c r="J51" s="101"/>
      <c r="K51" s="101"/>
      <c r="L51" s="102"/>
      <c r="M51" s="83"/>
      <c r="N51" s="106" t="s">
        <v>46</v>
      </c>
      <c r="O51" s="101"/>
      <c r="P51" s="101"/>
      <c r="Q51" s="101"/>
      <c r="R51" s="101"/>
      <c r="S51" s="101"/>
      <c r="T51" s="107"/>
      <c r="U51" s="107"/>
      <c r="V51" s="80"/>
      <c r="W51" s="106" t="s">
        <v>46</v>
      </c>
      <c r="X51" s="100"/>
      <c r="Y51" s="101"/>
      <c r="Z51" s="101"/>
      <c r="AA51" s="101"/>
      <c r="AB51" s="101"/>
      <c r="AC51" s="101"/>
      <c r="AD51" s="102"/>
      <c r="AE51" s="72"/>
      <c r="AF51" s="72"/>
      <c r="AG51" s="72"/>
    </row>
    <row r="52" spans="1:33" ht="14.25" customHeight="1">
      <c r="A52" s="72"/>
      <c r="B52" s="72"/>
      <c r="C52" s="72"/>
      <c r="D52" s="72"/>
      <c r="E52" s="106" t="s">
        <v>19</v>
      </c>
      <c r="F52" s="101"/>
      <c r="G52" s="101"/>
      <c r="H52" s="101"/>
      <c r="I52" s="101"/>
      <c r="J52" s="101"/>
      <c r="K52" s="107"/>
      <c r="L52" s="107"/>
      <c r="M52" s="83"/>
      <c r="N52" s="106" t="s">
        <v>19</v>
      </c>
      <c r="O52" s="101"/>
      <c r="P52" s="101"/>
      <c r="Q52" s="101"/>
      <c r="R52" s="101"/>
      <c r="S52" s="101"/>
      <c r="T52" s="115"/>
      <c r="U52" s="115"/>
      <c r="V52" s="80"/>
      <c r="W52" s="106" t="s">
        <v>19</v>
      </c>
      <c r="X52" s="100"/>
      <c r="Y52" s="101"/>
      <c r="Z52" s="101"/>
      <c r="AA52" s="101"/>
      <c r="AB52" s="101"/>
      <c r="AC52" s="101"/>
      <c r="AD52" s="102"/>
      <c r="AE52" s="72"/>
      <c r="AF52" s="72"/>
      <c r="AG52" s="72"/>
    </row>
    <row r="53" spans="1:33" ht="14.25" customHeight="1">
      <c r="A53" s="72"/>
      <c r="B53" s="72"/>
      <c r="C53" s="72"/>
      <c r="D53" s="72"/>
      <c r="E53" s="106" t="s">
        <v>25</v>
      </c>
      <c r="F53" s="101"/>
      <c r="G53" s="101"/>
      <c r="H53" s="101"/>
      <c r="I53" s="101"/>
      <c r="J53" s="101"/>
      <c r="K53" s="107"/>
      <c r="L53" s="107"/>
      <c r="M53" s="83"/>
      <c r="N53" s="106" t="s">
        <v>25</v>
      </c>
      <c r="O53" s="101"/>
      <c r="P53" s="101"/>
      <c r="Q53" s="101"/>
      <c r="R53" s="101"/>
      <c r="S53" s="101"/>
      <c r="T53" s="115"/>
      <c r="U53" s="115"/>
      <c r="V53" s="80"/>
      <c r="W53" s="106" t="s">
        <v>25</v>
      </c>
      <c r="X53" s="100"/>
      <c r="Y53" s="101"/>
      <c r="Z53" s="101"/>
      <c r="AA53" s="101"/>
      <c r="AB53" s="101"/>
      <c r="AC53" s="101"/>
      <c r="AD53" s="102"/>
      <c r="AE53" s="72"/>
      <c r="AF53" s="72"/>
      <c r="AG53" s="72"/>
    </row>
    <row r="54" spans="1:33" ht="14.25" customHeight="1">
      <c r="A54" s="72"/>
      <c r="B54" s="72"/>
      <c r="C54" s="72"/>
      <c r="D54" s="72"/>
      <c r="E54" s="108" t="s">
        <v>31</v>
      </c>
      <c r="F54" s="101"/>
      <c r="G54" s="101"/>
      <c r="H54" s="101"/>
      <c r="I54" s="101"/>
      <c r="J54" s="101"/>
      <c r="K54" s="107"/>
      <c r="L54" s="107"/>
      <c r="M54" s="83"/>
      <c r="N54" s="108" t="s">
        <v>31</v>
      </c>
      <c r="O54" s="101"/>
      <c r="P54" s="101"/>
      <c r="Q54" s="101"/>
      <c r="R54" s="101"/>
      <c r="S54" s="101"/>
      <c r="T54" s="115"/>
      <c r="U54" s="115"/>
      <c r="V54" s="80"/>
      <c r="W54" s="108" t="s">
        <v>31</v>
      </c>
      <c r="X54" s="100"/>
      <c r="Y54" s="101"/>
      <c r="Z54" s="101"/>
      <c r="AA54" s="101"/>
      <c r="AB54" s="101"/>
      <c r="AC54" s="101"/>
      <c r="AD54" s="102"/>
      <c r="AE54" s="72"/>
      <c r="AF54" s="72"/>
      <c r="AG54" s="72"/>
    </row>
    <row r="55" spans="1:33" ht="14.25" customHeight="1">
      <c r="A55" s="72"/>
      <c r="B55" s="72"/>
      <c r="C55" s="72"/>
      <c r="D55" s="72"/>
      <c r="E55" s="108" t="s">
        <v>26</v>
      </c>
      <c r="F55" s="101"/>
      <c r="G55" s="101"/>
      <c r="H55" s="101"/>
      <c r="I55" s="101"/>
      <c r="J55" s="101"/>
      <c r="K55" s="107"/>
      <c r="L55" s="107"/>
      <c r="M55" s="83"/>
      <c r="N55" s="108" t="s">
        <v>26</v>
      </c>
      <c r="O55" s="101"/>
      <c r="P55" s="101"/>
      <c r="Q55" s="101"/>
      <c r="R55" s="101"/>
      <c r="S55" s="101"/>
      <c r="T55" s="115"/>
      <c r="U55" s="115"/>
      <c r="V55" s="80"/>
      <c r="W55" s="108" t="s">
        <v>26</v>
      </c>
      <c r="X55" s="100"/>
      <c r="Y55" s="101"/>
      <c r="Z55" s="101"/>
      <c r="AA55" s="101"/>
      <c r="AB55" s="101"/>
      <c r="AC55" s="101"/>
      <c r="AD55" s="102"/>
      <c r="AE55" s="72"/>
      <c r="AF55" s="72"/>
      <c r="AG55" s="72"/>
    </row>
    <row r="56" spans="1:33" ht="14.25" customHeight="1">
      <c r="A56" s="72"/>
      <c r="B56" s="72"/>
      <c r="C56" s="72"/>
      <c r="D56" s="72"/>
      <c r="E56" s="109" t="s">
        <v>28</v>
      </c>
      <c r="F56" s="111"/>
      <c r="G56" s="111"/>
      <c r="H56" s="111"/>
      <c r="I56" s="111"/>
      <c r="J56" s="111"/>
      <c r="K56" s="107"/>
      <c r="L56" s="107"/>
      <c r="M56" s="83"/>
      <c r="N56" s="109" t="s">
        <v>28</v>
      </c>
      <c r="O56" s="111"/>
      <c r="P56" s="111"/>
      <c r="Q56" s="111"/>
      <c r="R56" s="111"/>
      <c r="S56" s="111"/>
      <c r="T56" s="115"/>
      <c r="U56" s="115"/>
      <c r="V56" s="80"/>
      <c r="W56" s="109" t="s">
        <v>28</v>
      </c>
      <c r="X56" s="110"/>
      <c r="Y56" s="111"/>
      <c r="Z56" s="111"/>
      <c r="AA56" s="111"/>
      <c r="AB56" s="111"/>
      <c r="AC56" s="101"/>
      <c r="AD56" s="102"/>
      <c r="AE56" s="72"/>
      <c r="AF56" s="72"/>
      <c r="AG56" s="72"/>
    </row>
    <row r="57" spans="1:33" ht="14.25" customHeight="1">
      <c r="A57" s="72"/>
      <c r="B57" s="72"/>
      <c r="C57" s="72"/>
      <c r="D57" s="72"/>
      <c r="E57" s="72"/>
      <c r="F57" s="117">
        <f>L45+1</f>
        <v>29</v>
      </c>
      <c r="G57" s="117">
        <f>F57+1</f>
        <v>30</v>
      </c>
      <c r="H57" s="117"/>
      <c r="I57" s="117"/>
      <c r="J57" s="117"/>
      <c r="K57" s="117"/>
      <c r="L57" s="117"/>
      <c r="M57" s="89"/>
      <c r="N57" s="72"/>
      <c r="O57" s="117">
        <f>U45+1</f>
        <v>27</v>
      </c>
      <c r="P57" s="117">
        <f t="shared" ref="P57:S57" si="12">O57+1</f>
        <v>28</v>
      </c>
      <c r="Q57" s="117">
        <f t="shared" si="12"/>
        <v>29</v>
      </c>
      <c r="R57" s="117">
        <f t="shared" si="12"/>
        <v>30</v>
      </c>
      <c r="S57" s="117">
        <f t="shared" si="12"/>
        <v>31</v>
      </c>
      <c r="T57" s="117"/>
      <c r="U57" s="117"/>
      <c r="V57" s="79"/>
      <c r="W57" s="72"/>
      <c r="X57" s="86">
        <f>AD45+1</f>
        <v>24</v>
      </c>
      <c r="Y57" s="86">
        <f t="shared" ref="Y57:AD57" si="13">X57+1</f>
        <v>25</v>
      </c>
      <c r="Z57" s="86">
        <f t="shared" si="13"/>
        <v>26</v>
      </c>
      <c r="AA57" s="86">
        <f t="shared" si="13"/>
        <v>27</v>
      </c>
      <c r="AB57" s="86">
        <f t="shared" si="13"/>
        <v>28</v>
      </c>
      <c r="AC57" s="86">
        <f t="shared" si="13"/>
        <v>29</v>
      </c>
      <c r="AD57" s="86">
        <f t="shared" si="13"/>
        <v>30</v>
      </c>
      <c r="AE57" s="72"/>
      <c r="AF57" s="72"/>
      <c r="AG57" s="72"/>
    </row>
    <row r="58" spans="1:33" ht="14.25" customHeight="1">
      <c r="A58" s="72"/>
      <c r="B58" s="72"/>
      <c r="C58" s="72"/>
      <c r="D58" s="72"/>
      <c r="E58" s="118" t="s">
        <v>397</v>
      </c>
      <c r="F58" s="113"/>
      <c r="G58" s="113"/>
      <c r="H58" s="103"/>
      <c r="I58" s="103"/>
      <c r="J58" s="103"/>
      <c r="K58" s="103"/>
      <c r="L58" s="103"/>
      <c r="M58" s="83"/>
      <c r="N58" s="92" t="s">
        <v>397</v>
      </c>
      <c r="O58" s="113"/>
      <c r="P58" s="113"/>
      <c r="Q58" s="114"/>
      <c r="R58" s="114"/>
      <c r="S58" s="101"/>
      <c r="T58" s="103"/>
      <c r="U58" s="103"/>
      <c r="V58" s="80"/>
      <c r="W58" s="92" t="s">
        <v>397</v>
      </c>
      <c r="X58" s="94"/>
      <c r="Y58" s="93"/>
      <c r="Z58" s="263" t="s">
        <v>512</v>
      </c>
      <c r="AA58" s="94"/>
      <c r="AB58" s="94"/>
      <c r="AC58" s="94"/>
      <c r="AD58" s="95"/>
      <c r="AE58" s="72"/>
      <c r="AF58" s="72"/>
      <c r="AG58" s="72"/>
    </row>
    <row r="59" spans="1:33" ht="14.25" customHeight="1">
      <c r="A59" s="72"/>
      <c r="B59" s="72"/>
      <c r="C59" s="72"/>
      <c r="D59" s="72"/>
      <c r="E59" s="119" t="s">
        <v>82</v>
      </c>
      <c r="F59" s="113"/>
      <c r="G59" s="114"/>
      <c r="H59" s="103"/>
      <c r="I59" s="103"/>
      <c r="J59" s="103"/>
      <c r="K59" s="103"/>
      <c r="L59" s="103"/>
      <c r="M59" s="83"/>
      <c r="N59" s="99" t="s">
        <v>82</v>
      </c>
      <c r="O59" s="113"/>
      <c r="P59" s="114"/>
      <c r="Q59" s="104"/>
      <c r="R59" s="101"/>
      <c r="S59" s="101"/>
      <c r="T59" s="103"/>
      <c r="U59" s="103"/>
      <c r="V59" s="80"/>
      <c r="W59" s="99" t="s">
        <v>82</v>
      </c>
      <c r="X59" s="101"/>
      <c r="Y59" s="100"/>
      <c r="Z59" s="264"/>
      <c r="AA59" s="101"/>
      <c r="AB59" s="101"/>
      <c r="AC59" s="101"/>
      <c r="AD59" s="102"/>
      <c r="AE59" s="72"/>
      <c r="AF59" s="72"/>
      <c r="AG59" s="72"/>
    </row>
    <row r="60" spans="1:33" ht="14.25" customHeight="1">
      <c r="A60" s="72"/>
      <c r="B60" s="72"/>
      <c r="C60" s="72"/>
      <c r="D60" s="72"/>
      <c r="E60" s="119" t="s">
        <v>92</v>
      </c>
      <c r="F60" s="113"/>
      <c r="G60" s="114"/>
      <c r="H60" s="103"/>
      <c r="I60" s="103"/>
      <c r="J60" s="103"/>
      <c r="K60" s="103"/>
      <c r="L60" s="103"/>
      <c r="M60" s="83"/>
      <c r="N60" s="99" t="s">
        <v>92</v>
      </c>
      <c r="O60" s="113"/>
      <c r="P60" s="114"/>
      <c r="Q60" s="104"/>
      <c r="R60" s="101"/>
      <c r="S60" s="101"/>
      <c r="T60" s="103"/>
      <c r="U60" s="103"/>
      <c r="V60" s="80"/>
      <c r="W60" s="99" t="s">
        <v>92</v>
      </c>
      <c r="X60" s="101"/>
      <c r="Y60" s="100"/>
      <c r="Z60" s="264"/>
      <c r="AA60" s="101"/>
      <c r="AB60" s="101"/>
      <c r="AC60" s="101"/>
      <c r="AD60" s="102"/>
      <c r="AE60" s="72"/>
      <c r="AF60" s="72"/>
      <c r="AG60" s="72"/>
    </row>
    <row r="61" spans="1:33" ht="14.25" customHeight="1">
      <c r="A61" s="72"/>
      <c r="B61" s="72"/>
      <c r="C61" s="72"/>
      <c r="D61" s="72"/>
      <c r="E61" s="120" t="s">
        <v>98</v>
      </c>
      <c r="F61" s="113"/>
      <c r="G61" s="114"/>
      <c r="H61" s="103"/>
      <c r="I61" s="103"/>
      <c r="J61" s="103"/>
      <c r="K61" s="103"/>
      <c r="L61" s="103"/>
      <c r="M61" s="83"/>
      <c r="N61" s="105" t="s">
        <v>98</v>
      </c>
      <c r="O61" s="113"/>
      <c r="P61" s="114"/>
      <c r="Q61" s="104"/>
      <c r="R61" s="101"/>
      <c r="S61" s="101"/>
      <c r="T61" s="103"/>
      <c r="U61" s="103"/>
      <c r="V61" s="80"/>
      <c r="W61" s="105" t="s">
        <v>98</v>
      </c>
      <c r="X61" s="101"/>
      <c r="Y61" s="100"/>
      <c r="Z61" s="264"/>
      <c r="AA61" s="101"/>
      <c r="AB61" s="101"/>
      <c r="AC61" s="101"/>
      <c r="AD61" s="102"/>
      <c r="AE61" s="72"/>
      <c r="AF61" s="72"/>
      <c r="AG61" s="72"/>
    </row>
    <row r="62" spans="1:33" ht="14.25" customHeight="1">
      <c r="A62" s="72"/>
      <c r="B62" s="72"/>
      <c r="C62" s="72"/>
      <c r="D62" s="72"/>
      <c r="E62" s="120" t="s">
        <v>104</v>
      </c>
      <c r="F62" s="113"/>
      <c r="G62" s="114"/>
      <c r="H62" s="103"/>
      <c r="I62" s="103"/>
      <c r="J62" s="103"/>
      <c r="K62" s="103"/>
      <c r="L62" s="103"/>
      <c r="M62" s="83"/>
      <c r="N62" s="105" t="s">
        <v>104</v>
      </c>
      <c r="O62" s="113"/>
      <c r="P62" s="114"/>
      <c r="Q62" s="104"/>
      <c r="R62" s="101"/>
      <c r="S62" s="101"/>
      <c r="T62" s="103"/>
      <c r="U62" s="103"/>
      <c r="V62" s="80"/>
      <c r="W62" s="105" t="s">
        <v>104</v>
      </c>
      <c r="X62" s="101"/>
      <c r="Y62" s="100"/>
      <c r="Z62" s="264"/>
      <c r="AA62" s="101"/>
      <c r="AB62" s="101"/>
      <c r="AC62" s="101"/>
      <c r="AD62" s="102"/>
      <c r="AE62" s="72"/>
      <c r="AF62" s="72"/>
      <c r="AG62" s="72"/>
    </row>
    <row r="63" spans="1:33" ht="14.25" customHeight="1">
      <c r="A63" s="72"/>
      <c r="B63" s="72"/>
      <c r="C63" s="72"/>
      <c r="D63" s="72"/>
      <c r="E63" s="121" t="s">
        <v>46</v>
      </c>
      <c r="F63" s="101"/>
      <c r="G63" s="101"/>
      <c r="H63" s="103"/>
      <c r="I63" s="103"/>
      <c r="J63" s="103"/>
      <c r="K63" s="103"/>
      <c r="L63" s="103"/>
      <c r="M63" s="83"/>
      <c r="N63" s="106" t="s">
        <v>46</v>
      </c>
      <c r="O63" s="101"/>
      <c r="P63" s="101"/>
      <c r="Q63" s="101"/>
      <c r="R63" s="101"/>
      <c r="S63" s="101"/>
      <c r="T63" s="103"/>
      <c r="U63" s="103"/>
      <c r="V63" s="80"/>
      <c r="W63" s="106" t="s">
        <v>46</v>
      </c>
      <c r="X63" s="101"/>
      <c r="Y63" s="100"/>
      <c r="Z63" s="264"/>
      <c r="AA63" s="101"/>
      <c r="AB63" s="101"/>
      <c r="AC63" s="101"/>
      <c r="AD63" s="102"/>
      <c r="AE63" s="72"/>
      <c r="AF63" s="72"/>
      <c r="AG63" s="72"/>
    </row>
    <row r="64" spans="1:33" ht="14.25" customHeight="1">
      <c r="A64" s="72"/>
      <c r="B64" s="72"/>
      <c r="C64" s="72"/>
      <c r="D64" s="72"/>
      <c r="E64" s="106" t="s">
        <v>19</v>
      </c>
      <c r="F64" s="101"/>
      <c r="G64" s="101"/>
      <c r="H64" s="103"/>
      <c r="I64" s="103"/>
      <c r="J64" s="103"/>
      <c r="K64" s="103"/>
      <c r="L64" s="103"/>
      <c r="M64" s="83"/>
      <c r="N64" s="106" t="s">
        <v>19</v>
      </c>
      <c r="O64" s="101"/>
      <c r="P64" s="101"/>
      <c r="Q64" s="101"/>
      <c r="R64" s="101"/>
      <c r="S64" s="101"/>
      <c r="T64" s="103"/>
      <c r="U64" s="103"/>
      <c r="V64" s="80"/>
      <c r="W64" s="106" t="s">
        <v>19</v>
      </c>
      <c r="X64" s="101"/>
      <c r="Y64" s="100"/>
      <c r="Z64" s="264"/>
      <c r="AA64" s="101"/>
      <c r="AB64" s="101"/>
      <c r="AC64" s="101"/>
      <c r="AD64" s="102"/>
      <c r="AE64" s="72"/>
      <c r="AF64" s="72"/>
      <c r="AG64" s="72"/>
    </row>
    <row r="65" spans="1:33" ht="14.25" customHeight="1">
      <c r="A65" s="72"/>
      <c r="B65" s="72"/>
      <c r="C65" s="72"/>
      <c r="D65" s="72"/>
      <c r="E65" s="106" t="s">
        <v>25</v>
      </c>
      <c r="F65" s="101"/>
      <c r="G65" s="101"/>
      <c r="H65" s="103"/>
      <c r="I65" s="103"/>
      <c r="J65" s="103"/>
      <c r="K65" s="103"/>
      <c r="L65" s="103"/>
      <c r="M65" s="83"/>
      <c r="N65" s="106" t="s">
        <v>25</v>
      </c>
      <c r="O65" s="101"/>
      <c r="P65" s="101"/>
      <c r="Q65" s="101"/>
      <c r="R65" s="101"/>
      <c r="S65" s="101"/>
      <c r="T65" s="103"/>
      <c r="U65" s="103"/>
      <c r="V65" s="80"/>
      <c r="W65" s="106" t="s">
        <v>25</v>
      </c>
      <c r="X65" s="101"/>
      <c r="Y65" s="100"/>
      <c r="Z65" s="264"/>
      <c r="AA65" s="101"/>
      <c r="AB65" s="101"/>
      <c r="AC65" s="101"/>
      <c r="AD65" s="102"/>
      <c r="AE65" s="72"/>
      <c r="AF65" s="72"/>
      <c r="AG65" s="72"/>
    </row>
    <row r="66" spans="1:33" ht="14.25" customHeight="1">
      <c r="A66" s="72"/>
      <c r="B66" s="72"/>
      <c r="C66" s="72"/>
      <c r="D66" s="72"/>
      <c r="E66" s="122" t="s">
        <v>31</v>
      </c>
      <c r="F66" s="101"/>
      <c r="G66" s="101"/>
      <c r="H66" s="103"/>
      <c r="I66" s="103"/>
      <c r="J66" s="103"/>
      <c r="K66" s="103"/>
      <c r="L66" s="103"/>
      <c r="M66" s="83"/>
      <c r="N66" s="108" t="s">
        <v>31</v>
      </c>
      <c r="O66" s="101"/>
      <c r="P66" s="101"/>
      <c r="Q66" s="101"/>
      <c r="R66" s="101"/>
      <c r="S66" s="101"/>
      <c r="T66" s="103"/>
      <c r="U66" s="103"/>
      <c r="V66" s="80"/>
      <c r="W66" s="108" t="s">
        <v>31</v>
      </c>
      <c r="X66" s="101"/>
      <c r="Y66" s="100"/>
      <c r="Z66" s="264"/>
      <c r="AA66" s="101"/>
      <c r="AB66" s="101"/>
      <c r="AC66" s="101"/>
      <c r="AD66" s="102"/>
      <c r="AE66" s="72"/>
      <c r="AF66" s="72"/>
      <c r="AG66" s="72"/>
    </row>
    <row r="67" spans="1:33" ht="14.25" customHeight="1">
      <c r="A67" s="72"/>
      <c r="B67" s="72"/>
      <c r="C67" s="72"/>
      <c r="D67" s="72"/>
      <c r="E67" s="122" t="s">
        <v>26</v>
      </c>
      <c r="F67" s="101"/>
      <c r="G67" s="101"/>
      <c r="H67" s="103"/>
      <c r="I67" s="103"/>
      <c r="J67" s="103"/>
      <c r="K67" s="103"/>
      <c r="L67" s="103"/>
      <c r="M67" s="83"/>
      <c r="N67" s="108" t="s">
        <v>26</v>
      </c>
      <c r="O67" s="101"/>
      <c r="P67" s="101"/>
      <c r="Q67" s="101"/>
      <c r="R67" s="101"/>
      <c r="S67" s="101"/>
      <c r="T67" s="103"/>
      <c r="U67" s="103"/>
      <c r="V67" s="80"/>
      <c r="W67" s="108" t="s">
        <v>26</v>
      </c>
      <c r="X67" s="101"/>
      <c r="Y67" s="100"/>
      <c r="Z67" s="264"/>
      <c r="AA67" s="101"/>
      <c r="AB67" s="101"/>
      <c r="AC67" s="101"/>
      <c r="AD67" s="102"/>
      <c r="AE67" s="72"/>
      <c r="AF67" s="72"/>
      <c r="AG67" s="72"/>
    </row>
    <row r="68" spans="1:33" ht="14.25" customHeight="1">
      <c r="A68" s="72"/>
      <c r="B68" s="72"/>
      <c r="C68" s="72"/>
      <c r="D68" s="72"/>
      <c r="E68" s="123" t="s">
        <v>28</v>
      </c>
      <c r="F68" s="101"/>
      <c r="G68" s="101"/>
      <c r="H68" s="103"/>
      <c r="I68" s="103"/>
      <c r="J68" s="103"/>
      <c r="K68" s="103"/>
      <c r="L68" s="103"/>
      <c r="M68" s="83"/>
      <c r="N68" s="109" t="s">
        <v>28</v>
      </c>
      <c r="O68" s="101"/>
      <c r="P68" s="101"/>
      <c r="Q68" s="101"/>
      <c r="R68" s="101"/>
      <c r="S68" s="101"/>
      <c r="T68" s="103"/>
      <c r="U68" s="103"/>
      <c r="V68" s="80"/>
      <c r="W68" s="109" t="s">
        <v>28</v>
      </c>
      <c r="X68" s="111"/>
      <c r="Y68" s="110"/>
      <c r="Z68" s="265"/>
      <c r="AA68" s="111"/>
      <c r="AB68" s="111"/>
      <c r="AC68" s="101"/>
      <c r="AD68" s="102"/>
      <c r="AE68" s="72"/>
      <c r="AF68" s="72"/>
      <c r="AG68" s="72"/>
    </row>
    <row r="69" spans="1:33" ht="14.2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117">
        <f>AD57+1</f>
        <v>31</v>
      </c>
      <c r="Y69" s="117"/>
      <c r="Z69" s="117"/>
      <c r="AA69" s="117"/>
      <c r="AB69" s="117"/>
      <c r="AC69" s="117"/>
      <c r="AD69" s="86"/>
      <c r="AE69" s="72"/>
      <c r="AF69" s="72"/>
      <c r="AG69" s="72"/>
    </row>
    <row r="70" spans="1:33" ht="14.2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118" t="s">
        <v>397</v>
      </c>
      <c r="X70" s="101"/>
      <c r="Y70" s="103"/>
      <c r="Z70" s="103"/>
      <c r="AA70" s="103"/>
      <c r="AB70" s="103"/>
      <c r="AC70" s="103"/>
      <c r="AD70" s="124"/>
      <c r="AE70" s="72"/>
      <c r="AF70" s="72"/>
      <c r="AG70" s="72"/>
    </row>
    <row r="71" spans="1:33" ht="14.2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119" t="s">
        <v>82</v>
      </c>
      <c r="X71" s="101"/>
      <c r="Y71" s="103"/>
      <c r="Z71" s="103"/>
      <c r="AA71" s="103"/>
      <c r="AB71" s="103"/>
      <c r="AC71" s="103"/>
      <c r="AD71" s="125"/>
      <c r="AE71" s="72"/>
      <c r="AF71" s="72"/>
      <c r="AG71" s="72"/>
    </row>
    <row r="72" spans="1:33" ht="14.2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119" t="s">
        <v>92</v>
      </c>
      <c r="X72" s="101"/>
      <c r="Y72" s="103"/>
      <c r="Z72" s="103"/>
      <c r="AA72" s="103"/>
      <c r="AB72" s="103"/>
      <c r="AC72" s="103"/>
      <c r="AD72" s="125"/>
      <c r="AE72" s="72"/>
      <c r="AF72" s="72"/>
      <c r="AG72" s="72"/>
    </row>
    <row r="73" spans="1:33" ht="14.2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120" t="s">
        <v>98</v>
      </c>
      <c r="X73" s="101"/>
      <c r="Y73" s="103"/>
      <c r="Z73" s="103"/>
      <c r="AA73" s="103"/>
      <c r="AB73" s="103"/>
      <c r="AC73" s="103"/>
      <c r="AD73" s="125"/>
      <c r="AE73" s="72"/>
      <c r="AF73" s="72"/>
      <c r="AG73" s="72"/>
    </row>
    <row r="74" spans="1:33" ht="14.2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120" t="s">
        <v>104</v>
      </c>
      <c r="X74" s="101"/>
      <c r="Y74" s="103"/>
      <c r="Z74" s="103"/>
      <c r="AA74" s="103"/>
      <c r="AB74" s="103"/>
      <c r="AC74" s="103"/>
      <c r="AD74" s="125"/>
      <c r="AE74" s="72"/>
      <c r="AF74" s="72"/>
      <c r="AG74" s="72"/>
    </row>
    <row r="75" spans="1:33" ht="14.2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121" t="s">
        <v>46</v>
      </c>
      <c r="X75" s="101"/>
      <c r="Y75" s="103"/>
      <c r="Z75" s="103"/>
      <c r="AA75" s="103"/>
      <c r="AB75" s="103"/>
      <c r="AC75" s="103"/>
      <c r="AD75" s="125"/>
      <c r="AE75" s="72"/>
      <c r="AF75" s="72"/>
      <c r="AG75" s="72"/>
    </row>
    <row r="76" spans="1:33" ht="14.2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106" t="s">
        <v>19</v>
      </c>
      <c r="X76" s="101"/>
      <c r="Y76" s="103"/>
      <c r="Z76" s="103"/>
      <c r="AA76" s="103"/>
      <c r="AB76" s="103"/>
      <c r="AC76" s="103"/>
      <c r="AD76" s="125"/>
      <c r="AE76" s="72"/>
      <c r="AF76" s="72"/>
      <c r="AG76" s="72"/>
    </row>
    <row r="77" spans="1:33" ht="14.2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106" t="s">
        <v>25</v>
      </c>
      <c r="X77" s="101"/>
      <c r="Y77" s="103"/>
      <c r="Z77" s="103"/>
      <c r="AA77" s="103"/>
      <c r="AB77" s="103"/>
      <c r="AC77" s="103"/>
      <c r="AD77" s="125"/>
      <c r="AE77" s="72"/>
      <c r="AF77" s="72"/>
      <c r="AG77" s="72"/>
    </row>
    <row r="78" spans="1:33" ht="14.2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122" t="s">
        <v>31</v>
      </c>
      <c r="X78" s="101"/>
      <c r="Y78" s="103"/>
      <c r="Z78" s="103"/>
      <c r="AA78" s="103"/>
      <c r="AB78" s="103"/>
      <c r="AC78" s="103"/>
      <c r="AD78" s="125"/>
      <c r="AE78" s="72"/>
      <c r="AF78" s="72"/>
      <c r="AG78" s="72"/>
    </row>
    <row r="79" spans="1:33" ht="14.2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122" t="s">
        <v>26</v>
      </c>
      <c r="X79" s="101"/>
      <c r="Y79" s="103"/>
      <c r="Z79" s="103"/>
      <c r="AA79" s="103"/>
      <c r="AB79" s="103"/>
      <c r="AC79" s="103"/>
      <c r="AD79" s="125"/>
      <c r="AE79" s="72"/>
      <c r="AF79" s="72"/>
      <c r="AG79" s="72"/>
    </row>
    <row r="80" spans="1:33" ht="14.2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123" t="s">
        <v>28</v>
      </c>
      <c r="X80" s="101"/>
      <c r="Y80" s="103"/>
      <c r="Z80" s="103"/>
      <c r="AA80" s="103"/>
      <c r="AB80" s="103"/>
      <c r="AC80" s="103"/>
      <c r="AD80" s="125"/>
      <c r="AE80" s="72"/>
      <c r="AF80" s="72"/>
      <c r="AG80" s="72"/>
    </row>
    <row r="81" spans="1:33" ht="14.2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</row>
    <row r="82" spans="1:33" ht="14.2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</row>
    <row r="83" spans="1:33" ht="14.2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</row>
    <row r="84" spans="1:33" ht="14.2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</row>
    <row r="85" spans="1:33" ht="14.2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</row>
    <row r="86" spans="1:33" ht="14.2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</row>
    <row r="87" spans="1:33" ht="14.2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</row>
    <row r="88" spans="1:33" ht="14.2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</row>
    <row r="89" spans="1:33" ht="14.2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</row>
    <row r="90" spans="1:33" ht="14.2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</row>
    <row r="91" spans="1:33" ht="14.2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</row>
    <row r="92" spans="1:33" ht="14.2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</row>
    <row r="93" spans="1:33" ht="14.2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</row>
    <row r="94" spans="1:33" ht="14.2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</row>
    <row r="95" spans="1:33" ht="14.2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</row>
    <row r="96" spans="1:33" ht="14.2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</row>
    <row r="97" spans="1:33" ht="14.2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</row>
    <row r="98" spans="1:33" ht="14.2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</row>
    <row r="99" spans="1:33" ht="14.2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</row>
    <row r="100" spans="1:33" ht="14.2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</row>
    <row r="101" spans="1:33" ht="14.25" customHeight="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</row>
    <row r="102" spans="1:33" ht="14.25" customHeight="1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</row>
    <row r="103" spans="1:33" ht="14.25" customHeight="1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</row>
    <row r="104" spans="1:33" ht="14.25" customHeight="1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</row>
    <row r="105" spans="1:33" ht="14.25" customHeight="1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</row>
    <row r="106" spans="1:33" ht="14.25" customHeight="1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</row>
    <row r="107" spans="1:33" ht="14.25" customHeight="1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</row>
    <row r="108" spans="1:33" ht="14.25" customHeight="1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</row>
    <row r="109" spans="1:33" ht="14.25" customHeight="1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</row>
    <row r="110" spans="1:33" ht="14.25" customHeight="1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</row>
    <row r="111" spans="1:33" ht="14.25" customHeight="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</row>
    <row r="112" spans="1:33" ht="14.25" customHeight="1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</row>
    <row r="113" spans="1:33" ht="14.25" customHeight="1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</row>
    <row r="114" spans="1:33" ht="14.25" customHeight="1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</row>
    <row r="115" spans="1:33" ht="14.25" customHeight="1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</row>
    <row r="116" spans="1:33" ht="14.25" customHeight="1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</row>
    <row r="117" spans="1:33" ht="14.25" customHeight="1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</row>
    <row r="118" spans="1:33" ht="14.25" customHeight="1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</row>
    <row r="119" spans="1:33" ht="14.25" customHeight="1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</row>
    <row r="120" spans="1:33" ht="14.25" customHeight="1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</row>
    <row r="121" spans="1:33" ht="14.25" customHeight="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</row>
    <row r="122" spans="1:33" ht="14.25" customHeight="1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</row>
    <row r="123" spans="1:33" ht="14.25" customHeight="1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</row>
    <row r="124" spans="1:33" ht="14.25" customHeight="1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</row>
    <row r="125" spans="1:33" ht="14.25" customHeight="1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</row>
    <row r="126" spans="1:33" ht="14.25" customHeight="1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</row>
    <row r="127" spans="1:33" ht="14.25" customHeight="1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</row>
    <row r="128" spans="1:33" ht="14.25" customHeight="1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</row>
    <row r="129" spans="1:33" ht="14.25" customHeight="1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</row>
    <row r="130" spans="1:33" ht="14.25" customHeight="1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</row>
    <row r="131" spans="1:33" ht="14.25" customHeight="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</row>
    <row r="132" spans="1:33" ht="14.25" customHeight="1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</row>
    <row r="133" spans="1:33" ht="14.25" customHeight="1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</row>
    <row r="134" spans="1:33" ht="14.25" customHeight="1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</row>
    <row r="135" spans="1:33" ht="14.25" customHeight="1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</row>
    <row r="136" spans="1:33" ht="14.25" customHeight="1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</row>
    <row r="137" spans="1:33" ht="14.25" customHeight="1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</row>
    <row r="138" spans="1:33" ht="14.25" customHeight="1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</row>
    <row r="139" spans="1:33" ht="14.25" customHeight="1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</row>
    <row r="140" spans="1:33" ht="14.25" customHeight="1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</row>
    <row r="141" spans="1:33" ht="14.25" customHeight="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</row>
    <row r="142" spans="1:33" ht="14.25" customHeight="1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</row>
    <row r="143" spans="1:33" ht="14.25" customHeight="1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</row>
    <row r="144" spans="1:33" ht="14.25" customHeight="1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</row>
    <row r="145" spans="1:33" ht="14.25" customHeight="1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</row>
    <row r="146" spans="1:33" ht="14.25" customHeight="1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</row>
    <row r="147" spans="1:33" ht="14.25" customHeight="1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</row>
    <row r="148" spans="1:33" ht="14.25" customHeight="1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</row>
    <row r="149" spans="1:33" ht="14.25" customHeight="1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</row>
    <row r="150" spans="1:33" ht="14.25" customHeight="1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</row>
    <row r="151" spans="1:33" ht="14.25" customHeight="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</row>
    <row r="152" spans="1:33" ht="14.25" customHeight="1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</row>
    <row r="153" spans="1:33" ht="14.25" customHeight="1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</row>
    <row r="154" spans="1:33" ht="14.25" customHeight="1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</row>
    <row r="155" spans="1:33" ht="14.25" customHeight="1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</row>
    <row r="156" spans="1:33" ht="14.25" customHeight="1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</row>
    <row r="157" spans="1:33" ht="14.25" customHeight="1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</row>
    <row r="158" spans="1:33" ht="14.25" customHeight="1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</row>
    <row r="159" spans="1:33" ht="14.25" customHeight="1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</row>
    <row r="160" spans="1:33" ht="14.25" customHeight="1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</row>
    <row r="161" spans="1:33" ht="14.25" customHeight="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</row>
    <row r="162" spans="1:33" ht="14.25" customHeight="1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</row>
    <row r="163" spans="1:33" ht="14.25" customHeight="1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</row>
    <row r="164" spans="1:33" ht="14.25" customHeight="1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</row>
    <row r="165" spans="1:33" ht="14.25" customHeight="1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</row>
    <row r="166" spans="1:33" ht="14.25" customHeight="1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</row>
    <row r="167" spans="1:33" ht="14.25" customHeight="1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</row>
    <row r="168" spans="1:33" ht="14.25" customHeight="1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</row>
    <row r="169" spans="1:33" ht="14.25" customHeight="1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</row>
    <row r="170" spans="1:33" ht="14.25" customHeight="1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</row>
    <row r="171" spans="1:33" ht="14.25" customHeight="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</row>
    <row r="172" spans="1:33" ht="14.25" customHeight="1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</row>
    <row r="173" spans="1:33" ht="14.25" customHeight="1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</row>
    <row r="174" spans="1:33" ht="14.25" customHeight="1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</row>
    <row r="175" spans="1:33" ht="14.25" customHeight="1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</row>
    <row r="176" spans="1:33" ht="14.25" customHeight="1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</row>
    <row r="177" spans="1:33" ht="14.25" customHeight="1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</row>
    <row r="178" spans="1:33" ht="14.25" customHeight="1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</row>
    <row r="179" spans="1:33" ht="14.25" customHeight="1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</row>
    <row r="180" spans="1:33" ht="14.25" customHeight="1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</row>
    <row r="181" spans="1:33" ht="14.25" customHeight="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</row>
    <row r="182" spans="1:33" ht="14.25" customHeight="1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</row>
    <row r="183" spans="1:33" ht="14.25" customHeight="1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</row>
    <row r="184" spans="1:33" ht="14.25" customHeight="1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</row>
    <row r="185" spans="1:33" ht="14.25" customHeight="1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</row>
    <row r="186" spans="1:33" ht="14.25" customHeight="1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</row>
    <row r="187" spans="1:33" ht="14.25" customHeight="1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</row>
    <row r="188" spans="1:33" ht="14.25" customHeight="1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</row>
    <row r="189" spans="1:33" ht="14.25" customHeight="1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</row>
    <row r="190" spans="1:33" ht="14.25" customHeight="1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</row>
    <row r="191" spans="1:33" ht="14.25" customHeight="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</row>
    <row r="192" spans="1:33" ht="14.25" customHeight="1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</row>
    <row r="193" spans="1:33" ht="14.25" customHeight="1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</row>
    <row r="194" spans="1:33" ht="14.25" customHeight="1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</row>
    <row r="195" spans="1:33" ht="14.25" customHeight="1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</row>
    <row r="196" spans="1:33" ht="14.25" customHeight="1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</row>
    <row r="197" spans="1:33" ht="14.25" customHeight="1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</row>
    <row r="198" spans="1:33" ht="14.25" customHeight="1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</row>
    <row r="199" spans="1:33" ht="14.25" customHeight="1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</row>
    <row r="200" spans="1:33" ht="14.25" customHeight="1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</row>
    <row r="201" spans="1:33" ht="14.25" customHeight="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</row>
    <row r="202" spans="1:33" ht="14.25" customHeight="1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</row>
    <row r="203" spans="1:33" ht="14.25" customHeight="1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</row>
    <row r="204" spans="1:33" ht="14.2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</row>
    <row r="205" spans="1:33" ht="14.25" customHeight="1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</row>
    <row r="206" spans="1:33" ht="14.25" customHeight="1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</row>
    <row r="207" spans="1:33" ht="14.25" customHeight="1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</row>
    <row r="208" spans="1:33" ht="14.25" customHeight="1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</row>
    <row r="209" spans="1:33" ht="14.25" customHeight="1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</row>
    <row r="210" spans="1:33" ht="14.25" customHeight="1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</row>
    <row r="211" spans="1:33" ht="14.25" customHeight="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</row>
    <row r="212" spans="1:33" ht="14.25" customHeight="1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</row>
    <row r="213" spans="1:33" ht="14.25" customHeight="1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</row>
    <row r="214" spans="1:33" ht="14.25" customHeight="1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</row>
    <row r="215" spans="1:33" ht="14.25" customHeight="1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</row>
    <row r="216" spans="1:33" ht="14.25" customHeight="1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</row>
    <row r="217" spans="1:33" ht="14.25" customHeight="1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</row>
    <row r="218" spans="1:33" ht="14.25" customHeight="1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</row>
    <row r="219" spans="1:33" ht="14.25" customHeight="1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</row>
    <row r="220" spans="1:33" ht="14.25" customHeight="1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</row>
    <row r="221" spans="1:33" ht="14.25" customHeight="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</row>
    <row r="222" spans="1:33" ht="14.25" customHeight="1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</row>
    <row r="223" spans="1:33" ht="14.25" customHeight="1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</row>
    <row r="224" spans="1:33" ht="14.25" customHeight="1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</row>
    <row r="225" spans="1:33" ht="14.25" customHeight="1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</row>
    <row r="226" spans="1:33" ht="14.25" customHeight="1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</row>
    <row r="227" spans="1:33" ht="14.25" customHeight="1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</row>
    <row r="228" spans="1:33" ht="14.25" customHeight="1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</row>
    <row r="229" spans="1:33" ht="14.25" customHeight="1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</row>
    <row r="230" spans="1:33" ht="14.25" customHeight="1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</row>
    <row r="231" spans="1:33" ht="14.25" customHeight="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</row>
    <row r="232" spans="1:33" ht="14.25" customHeight="1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</row>
    <row r="233" spans="1:33" ht="14.25" customHeight="1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</row>
    <row r="234" spans="1:33" ht="14.25" customHeight="1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</row>
    <row r="235" spans="1:33" ht="14.25" customHeight="1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</row>
    <row r="236" spans="1:33" ht="14.25" customHeight="1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</row>
    <row r="237" spans="1:33" ht="14.25" customHeight="1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</row>
    <row r="238" spans="1:33" ht="14.25" customHeight="1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</row>
    <row r="239" spans="1:33" ht="14.25" customHeight="1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</row>
    <row r="240" spans="1:33" ht="14.25" customHeight="1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</row>
    <row r="241" spans="1:33" ht="14.25" customHeight="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</row>
    <row r="242" spans="1:33" ht="14.25" customHeight="1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</row>
    <row r="243" spans="1:33" ht="14.25" customHeight="1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</row>
    <row r="244" spans="1:33" ht="14.25" customHeight="1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</row>
    <row r="245" spans="1:33" ht="14.25" customHeight="1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</row>
    <row r="246" spans="1:33" ht="14.25" customHeight="1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</row>
    <row r="247" spans="1:33" ht="14.25" customHeight="1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</row>
    <row r="248" spans="1:33" ht="14.25" customHeight="1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</row>
    <row r="249" spans="1:33" ht="14.25" customHeight="1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</row>
    <row r="250" spans="1:33" ht="14.25" customHeight="1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</row>
    <row r="251" spans="1:33" ht="14.25" customHeight="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</row>
    <row r="252" spans="1:33" ht="14.25" customHeight="1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</row>
    <row r="253" spans="1:33" ht="14.25" customHeight="1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</row>
    <row r="254" spans="1:33" ht="14.25" customHeight="1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</row>
    <row r="255" spans="1:33" ht="14.25" customHeight="1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</row>
    <row r="256" spans="1:33" ht="14.25" customHeight="1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</row>
    <row r="257" spans="1:33" ht="14.25" customHeight="1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</row>
    <row r="258" spans="1:33" ht="14.25" customHeight="1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</row>
    <row r="259" spans="1:33" ht="14.25" customHeight="1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</row>
    <row r="260" spans="1:33" ht="14.25" customHeight="1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</row>
    <row r="261" spans="1:33" ht="14.25" customHeight="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</row>
    <row r="262" spans="1:33" ht="14.25" customHeight="1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</row>
    <row r="263" spans="1:33" ht="14.25" customHeight="1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</row>
    <row r="264" spans="1:33" ht="14.25" customHeight="1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</row>
    <row r="265" spans="1:33" ht="14.25" customHeight="1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</row>
    <row r="266" spans="1:33" ht="14.25" customHeight="1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</row>
    <row r="267" spans="1:33" ht="14.25" customHeight="1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</row>
    <row r="268" spans="1:33" ht="14.25" customHeight="1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</row>
    <row r="269" spans="1:33" ht="14.25" customHeight="1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</row>
    <row r="270" spans="1:33" ht="14.25" customHeight="1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</row>
    <row r="271" spans="1:33" ht="14.25" customHeight="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</row>
    <row r="272" spans="1:33" ht="14.25" customHeight="1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</row>
    <row r="273" spans="1:33" ht="14.25" customHeight="1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</row>
    <row r="274" spans="1:33" ht="14.25" customHeight="1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</row>
    <row r="275" spans="1:33" ht="14.25" customHeight="1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</row>
    <row r="276" spans="1:33" ht="14.25" customHeight="1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</row>
    <row r="277" spans="1:33" ht="14.25" customHeight="1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</row>
    <row r="278" spans="1:33" ht="14.25" customHeight="1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</row>
    <row r="279" spans="1:33" ht="14.25" customHeight="1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</row>
    <row r="280" spans="1:33" ht="14.25" customHeight="1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</row>
    <row r="281" spans="1:33" ht="15.75" customHeight="1"/>
    <row r="282" spans="1:33" ht="15.75" customHeight="1"/>
    <row r="283" spans="1:33" ht="15.75" customHeight="1"/>
    <row r="284" spans="1:33" ht="15.75" customHeight="1"/>
    <row r="285" spans="1:33" ht="15.75" customHeight="1"/>
    <row r="286" spans="1:33" ht="15.75" customHeight="1"/>
    <row r="287" spans="1:33" ht="15.75" customHeight="1"/>
    <row r="288" spans="1:33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K39:L39"/>
    <mergeCell ref="Z58:Z68"/>
    <mergeCell ref="B2:C2"/>
    <mergeCell ref="O5:U5"/>
    <mergeCell ref="F7:L7"/>
    <mergeCell ref="O7:U7"/>
    <mergeCell ref="X7:AD7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3CAEB"/>
  </sheetPr>
  <dimension ref="A1:H1000"/>
  <sheetViews>
    <sheetView workbookViewId="0">
      <pane xSplit="2" topLeftCell="N1" activePane="topRight" state="frozen"/>
      <selection pane="topRight" activeCell="D2" sqref="D2"/>
    </sheetView>
  </sheetViews>
  <sheetFormatPr defaultColWidth="12.6640625" defaultRowHeight="15" customHeight="1"/>
  <cols>
    <col min="1" max="1" width="3.88671875" customWidth="1"/>
    <col min="2" max="2" width="12.109375" customWidth="1"/>
    <col min="3" max="3" width="58.6640625" customWidth="1"/>
    <col min="4" max="4" width="13.88671875" customWidth="1"/>
    <col min="5" max="6" width="15.109375" customWidth="1"/>
    <col min="7" max="7" width="12.109375" customWidth="1"/>
    <col min="8" max="8" width="23.21875" customWidth="1"/>
  </cols>
  <sheetData>
    <row r="1" spans="1:8" ht="14.25" customHeight="1">
      <c r="D1" s="126"/>
    </row>
    <row r="2" spans="1:8" ht="14.25" customHeight="1">
      <c r="A2" s="127"/>
      <c r="B2" s="127"/>
      <c r="C2" s="127"/>
      <c r="D2" s="128"/>
      <c r="E2" s="127"/>
      <c r="F2" s="127"/>
      <c r="G2" s="127"/>
      <c r="H2" s="127"/>
    </row>
    <row r="3" spans="1:8" ht="14.25" customHeight="1">
      <c r="A3" s="53" t="s">
        <v>424</v>
      </c>
      <c r="B3" s="53" t="s">
        <v>404</v>
      </c>
      <c r="C3" s="53" t="s">
        <v>425</v>
      </c>
      <c r="D3" s="129" t="s">
        <v>407</v>
      </c>
      <c r="E3" s="53" t="s">
        <v>408</v>
      </c>
      <c r="F3" s="53" t="s">
        <v>409</v>
      </c>
      <c r="G3" s="53" t="s">
        <v>513</v>
      </c>
      <c r="H3" s="53" t="s">
        <v>410</v>
      </c>
    </row>
    <row r="4" spans="1:8" ht="14.25" customHeight="1">
      <c r="A4" s="130">
        <v>1</v>
      </c>
      <c r="B4" s="131" t="s">
        <v>92</v>
      </c>
      <c r="C4" s="131" t="s">
        <v>444</v>
      </c>
      <c r="D4" s="132">
        <v>46202</v>
      </c>
      <c r="E4" s="131" t="s">
        <v>514</v>
      </c>
      <c r="F4" s="130">
        <v>8</v>
      </c>
      <c r="G4" s="131"/>
      <c r="H4" s="130" t="s">
        <v>27</v>
      </c>
    </row>
    <row r="5" spans="1:8" ht="14.25" customHeight="1">
      <c r="A5" s="130">
        <v>2</v>
      </c>
      <c r="B5" s="131" t="s">
        <v>92</v>
      </c>
      <c r="C5" s="131" t="s">
        <v>444</v>
      </c>
      <c r="D5" s="133">
        <v>46209</v>
      </c>
      <c r="E5" s="131" t="s">
        <v>514</v>
      </c>
      <c r="F5" s="130">
        <v>8</v>
      </c>
      <c r="G5" s="131"/>
      <c r="H5" s="131"/>
    </row>
    <row r="6" spans="1:8" ht="14.25" customHeight="1">
      <c r="A6" s="130">
        <v>3</v>
      </c>
      <c r="B6" s="131" t="s">
        <v>92</v>
      </c>
      <c r="C6" s="131" t="s">
        <v>444</v>
      </c>
      <c r="D6" s="133">
        <v>46216</v>
      </c>
      <c r="E6" s="131" t="s">
        <v>514</v>
      </c>
      <c r="F6" s="130"/>
      <c r="G6" s="131"/>
      <c r="H6" s="131"/>
    </row>
    <row r="7" spans="1:8" ht="14.25" customHeight="1">
      <c r="A7" s="130">
        <v>4</v>
      </c>
      <c r="B7" s="131" t="s">
        <v>92</v>
      </c>
      <c r="C7" s="131" t="s">
        <v>444</v>
      </c>
      <c r="D7" s="133">
        <v>46216</v>
      </c>
      <c r="E7" s="131" t="s">
        <v>514</v>
      </c>
      <c r="F7" s="131"/>
      <c r="G7" s="131"/>
      <c r="H7" s="131"/>
    </row>
    <row r="8" spans="1:8" ht="14.25" customHeight="1">
      <c r="A8" s="130">
        <v>5</v>
      </c>
      <c r="B8" s="131" t="s">
        <v>92</v>
      </c>
      <c r="C8" s="131" t="s">
        <v>444</v>
      </c>
      <c r="D8" s="133">
        <v>46223</v>
      </c>
      <c r="E8" s="131" t="s">
        <v>514</v>
      </c>
      <c r="F8" s="130"/>
      <c r="G8" s="131"/>
      <c r="H8" s="131"/>
    </row>
    <row r="9" spans="1:8" ht="14.25" customHeight="1">
      <c r="A9" s="130">
        <v>6</v>
      </c>
      <c r="B9" s="131" t="s">
        <v>92</v>
      </c>
      <c r="C9" s="131" t="s">
        <v>444</v>
      </c>
      <c r="D9" s="133">
        <v>46230</v>
      </c>
      <c r="E9" s="131" t="s">
        <v>514</v>
      </c>
      <c r="F9" s="130"/>
      <c r="G9" s="131"/>
      <c r="H9" s="131"/>
    </row>
    <row r="10" spans="1:8" ht="14.25" customHeight="1">
      <c r="A10" s="130">
        <v>7</v>
      </c>
      <c r="B10" s="131" t="s">
        <v>92</v>
      </c>
      <c r="C10" s="131" t="s">
        <v>444</v>
      </c>
      <c r="D10" s="133">
        <v>46237</v>
      </c>
      <c r="E10" s="131" t="s">
        <v>514</v>
      </c>
      <c r="F10" s="130"/>
      <c r="G10" s="131"/>
      <c r="H10" s="131"/>
    </row>
    <row r="11" spans="1:8" ht="14.25" customHeight="1">
      <c r="A11" s="130">
        <v>8</v>
      </c>
      <c r="B11" s="131" t="s">
        <v>92</v>
      </c>
      <c r="C11" s="131" t="s">
        <v>444</v>
      </c>
      <c r="D11" s="133">
        <v>46237</v>
      </c>
      <c r="E11" s="131" t="s">
        <v>514</v>
      </c>
      <c r="F11" s="131"/>
      <c r="G11" s="131"/>
      <c r="H11" s="131"/>
    </row>
    <row r="12" spans="1:8" ht="14.25" customHeight="1">
      <c r="A12" s="130">
        <v>9</v>
      </c>
      <c r="B12" s="131"/>
      <c r="C12" s="131"/>
      <c r="D12" s="134"/>
      <c r="E12" s="131"/>
      <c r="F12" s="130"/>
      <c r="G12" s="131"/>
      <c r="H12" s="131"/>
    </row>
    <row r="13" spans="1:8" ht="14.25" customHeight="1">
      <c r="A13" s="130">
        <v>10</v>
      </c>
      <c r="B13" s="131"/>
      <c r="C13" s="131"/>
      <c r="D13" s="134"/>
      <c r="E13" s="131"/>
      <c r="F13" s="130"/>
      <c r="G13" s="131"/>
      <c r="H13" s="131"/>
    </row>
    <row r="14" spans="1:8" ht="14.25" customHeight="1">
      <c r="A14" s="130">
        <v>11</v>
      </c>
      <c r="B14" s="131"/>
      <c r="C14" s="131"/>
      <c r="D14" s="134"/>
      <c r="E14" s="131"/>
      <c r="F14" s="130"/>
      <c r="G14" s="131"/>
      <c r="H14" s="131"/>
    </row>
    <row r="15" spans="1:8" ht="14.25" customHeight="1">
      <c r="A15" s="130">
        <v>12</v>
      </c>
      <c r="B15" s="131"/>
      <c r="C15" s="131"/>
      <c r="D15" s="135"/>
      <c r="E15" s="131"/>
      <c r="F15" s="131"/>
      <c r="G15" s="131"/>
      <c r="H15" s="131"/>
    </row>
    <row r="16" spans="1:8" ht="14.25" customHeight="1">
      <c r="A16" s="130">
        <v>13</v>
      </c>
      <c r="B16" s="131"/>
      <c r="C16" s="131"/>
      <c r="D16" s="134"/>
      <c r="E16" s="131"/>
      <c r="F16" s="130"/>
      <c r="G16" s="131"/>
      <c r="H16" s="131"/>
    </row>
    <row r="17" spans="1:8" ht="14.25" customHeight="1">
      <c r="A17" s="130">
        <v>14</v>
      </c>
      <c r="B17" s="131"/>
      <c r="C17" s="131"/>
      <c r="D17" s="134"/>
      <c r="E17" s="131"/>
      <c r="F17" s="130"/>
      <c r="G17" s="131"/>
      <c r="H17" s="131"/>
    </row>
    <row r="18" spans="1:8" ht="14.25" customHeight="1">
      <c r="A18" s="130">
        <v>15</v>
      </c>
      <c r="B18" s="131"/>
      <c r="C18" s="131"/>
      <c r="D18" s="134"/>
      <c r="E18" s="131"/>
      <c r="F18" s="130"/>
      <c r="G18" s="131"/>
      <c r="H18" s="131"/>
    </row>
    <row r="19" spans="1:8" ht="14.25" customHeight="1">
      <c r="A19" s="130">
        <v>16</v>
      </c>
      <c r="B19" s="131"/>
      <c r="C19" s="131"/>
      <c r="D19" s="134"/>
      <c r="E19" s="131"/>
      <c r="F19" s="131"/>
      <c r="G19" s="131"/>
      <c r="H19" s="131"/>
    </row>
    <row r="20" spans="1:8" ht="14.25" customHeight="1">
      <c r="A20" s="130">
        <v>17</v>
      </c>
      <c r="B20" s="131"/>
      <c r="C20" s="131"/>
      <c r="D20" s="134"/>
      <c r="E20" s="131"/>
      <c r="F20" s="130"/>
      <c r="G20" s="131"/>
      <c r="H20" s="131"/>
    </row>
    <row r="21" spans="1:8" ht="14.25" customHeight="1">
      <c r="A21" s="130">
        <v>18</v>
      </c>
      <c r="B21" s="131"/>
      <c r="C21" s="131"/>
      <c r="D21" s="134"/>
      <c r="E21" s="131"/>
      <c r="F21" s="130"/>
      <c r="G21" s="131"/>
      <c r="H21" s="131"/>
    </row>
    <row r="22" spans="1:8" ht="14.25" customHeight="1">
      <c r="A22" s="130">
        <v>19</v>
      </c>
      <c r="B22" s="131"/>
      <c r="C22" s="131"/>
      <c r="D22" s="134"/>
      <c r="E22" s="131"/>
      <c r="F22" s="130"/>
      <c r="G22" s="131"/>
      <c r="H22" s="131"/>
    </row>
    <row r="23" spans="1:8" ht="14.25" customHeight="1">
      <c r="A23" s="130">
        <v>20</v>
      </c>
      <c r="B23" s="131"/>
      <c r="C23" s="131"/>
      <c r="D23" s="134"/>
      <c r="E23" s="131"/>
      <c r="F23" s="131"/>
      <c r="G23" s="131"/>
      <c r="H23" s="131"/>
    </row>
    <row r="24" spans="1:8" ht="14.25" customHeight="1">
      <c r="A24" s="130">
        <v>21</v>
      </c>
      <c r="B24" s="131"/>
      <c r="C24" s="131"/>
      <c r="D24" s="134"/>
      <c r="E24" s="131"/>
      <c r="F24" s="130"/>
      <c r="G24" s="131"/>
      <c r="H24" s="131"/>
    </row>
    <row r="25" spans="1:8" ht="14.25" customHeight="1">
      <c r="A25" s="130">
        <v>22</v>
      </c>
      <c r="B25" s="131"/>
      <c r="C25" s="131"/>
      <c r="D25" s="134"/>
      <c r="E25" s="131"/>
      <c r="F25" s="130"/>
      <c r="G25" s="131"/>
      <c r="H25" s="131"/>
    </row>
    <row r="26" spans="1:8" ht="14.25" customHeight="1">
      <c r="A26" s="130">
        <v>23</v>
      </c>
      <c r="B26" s="131"/>
      <c r="C26" s="131"/>
      <c r="D26" s="134"/>
      <c r="E26" s="131"/>
      <c r="F26" s="130"/>
      <c r="G26" s="131"/>
      <c r="H26" s="131"/>
    </row>
    <row r="27" spans="1:8" ht="14.25" customHeight="1">
      <c r="A27" s="130">
        <v>24</v>
      </c>
      <c r="B27" s="131"/>
      <c r="C27" s="131"/>
      <c r="D27" s="134"/>
      <c r="E27" s="131"/>
      <c r="F27" s="131"/>
      <c r="G27" s="131"/>
      <c r="H27" s="131"/>
    </row>
    <row r="28" spans="1:8" ht="14.25" customHeight="1">
      <c r="A28" s="130">
        <v>25</v>
      </c>
      <c r="B28" s="131"/>
      <c r="C28" s="131"/>
      <c r="D28" s="134"/>
      <c r="E28" s="131"/>
      <c r="F28" s="130"/>
      <c r="G28" s="131"/>
      <c r="H28" s="131"/>
    </row>
    <row r="29" spans="1:8" ht="14.25" customHeight="1">
      <c r="A29" s="130">
        <v>26</v>
      </c>
      <c r="B29" s="131"/>
      <c r="C29" s="131"/>
      <c r="D29" s="134"/>
      <c r="E29" s="131"/>
      <c r="F29" s="130"/>
      <c r="G29" s="131"/>
      <c r="H29" s="131"/>
    </row>
    <row r="30" spans="1:8" ht="14.25" customHeight="1">
      <c r="A30" s="130">
        <v>27</v>
      </c>
      <c r="B30" s="131"/>
      <c r="C30" s="131"/>
      <c r="D30" s="134"/>
      <c r="E30" s="131"/>
      <c r="F30" s="130"/>
      <c r="G30" s="131"/>
      <c r="H30" s="131"/>
    </row>
    <row r="31" spans="1:8" ht="14.25" customHeight="1">
      <c r="A31" s="130">
        <v>28</v>
      </c>
      <c r="B31" s="131"/>
      <c r="C31" s="131"/>
      <c r="D31" s="134"/>
      <c r="E31" s="131"/>
      <c r="F31" s="131"/>
      <c r="G31" s="131"/>
      <c r="H31" s="131"/>
    </row>
    <row r="32" spans="1:8" ht="14.25" customHeight="1">
      <c r="A32" s="130">
        <v>29</v>
      </c>
      <c r="B32" s="131"/>
      <c r="C32" s="131"/>
      <c r="D32" s="134"/>
      <c r="E32" s="131"/>
      <c r="F32" s="130"/>
      <c r="G32" s="131"/>
      <c r="H32" s="131"/>
    </row>
    <row r="33" spans="1:8" ht="14.25" customHeight="1">
      <c r="A33" s="130">
        <v>30</v>
      </c>
      <c r="B33" s="131"/>
      <c r="C33" s="131"/>
      <c r="D33" s="134"/>
      <c r="E33" s="131"/>
      <c r="F33" s="130"/>
      <c r="G33" s="131"/>
      <c r="H33" s="131"/>
    </row>
    <row r="34" spans="1:8" ht="14.25" customHeight="1">
      <c r="A34" s="130">
        <v>31</v>
      </c>
      <c r="B34" s="131"/>
      <c r="C34" s="131"/>
      <c r="D34" s="134"/>
      <c r="E34" s="131"/>
      <c r="F34" s="130"/>
      <c r="G34" s="131"/>
      <c r="H34" s="131"/>
    </row>
    <row r="35" spans="1:8" ht="14.25" customHeight="1">
      <c r="A35" s="130">
        <v>32</v>
      </c>
      <c r="B35" s="131"/>
      <c r="C35" s="131"/>
      <c r="D35" s="134"/>
      <c r="E35" s="131"/>
      <c r="F35" s="131"/>
      <c r="G35" s="131"/>
      <c r="H35" s="131"/>
    </row>
    <row r="36" spans="1:8" ht="14.25" customHeight="1">
      <c r="A36" s="130">
        <v>33</v>
      </c>
      <c r="B36" s="131"/>
      <c r="C36" s="131"/>
      <c r="D36" s="134"/>
      <c r="E36" s="131"/>
      <c r="F36" s="130"/>
      <c r="G36" s="131"/>
      <c r="H36" s="131"/>
    </row>
    <row r="37" spans="1:8" ht="14.25" customHeight="1">
      <c r="A37" s="130">
        <v>34</v>
      </c>
      <c r="B37" s="131"/>
      <c r="C37" s="131"/>
      <c r="D37" s="134"/>
      <c r="E37" s="131"/>
      <c r="F37" s="130"/>
      <c r="G37" s="131"/>
      <c r="H37" s="131"/>
    </row>
    <row r="38" spans="1:8" ht="14.25" customHeight="1">
      <c r="A38" s="130">
        <v>35</v>
      </c>
      <c r="B38" s="131"/>
      <c r="C38" s="131"/>
      <c r="D38" s="134"/>
      <c r="E38" s="131"/>
      <c r="F38" s="130"/>
      <c r="G38" s="131"/>
      <c r="H38" s="131"/>
    </row>
    <row r="39" spans="1:8" ht="14.25" customHeight="1">
      <c r="A39" s="130">
        <v>36</v>
      </c>
      <c r="B39" s="131"/>
      <c r="C39" s="131"/>
      <c r="D39" s="135"/>
      <c r="E39" s="131"/>
      <c r="F39" s="131"/>
      <c r="G39" s="131"/>
      <c r="H39" s="131"/>
    </row>
    <row r="40" spans="1:8" ht="14.25" customHeight="1">
      <c r="A40" s="130">
        <v>37</v>
      </c>
      <c r="B40" s="131"/>
      <c r="C40" s="131"/>
      <c r="D40" s="134"/>
      <c r="E40" s="131"/>
      <c r="F40" s="130"/>
      <c r="G40" s="131"/>
      <c r="H40" s="131"/>
    </row>
    <row r="41" spans="1:8" ht="14.25" customHeight="1">
      <c r="A41" s="130">
        <v>38</v>
      </c>
      <c r="B41" s="131"/>
      <c r="C41" s="131"/>
      <c r="D41" s="134"/>
      <c r="E41" s="131"/>
      <c r="F41" s="130"/>
      <c r="G41" s="131"/>
      <c r="H41" s="131"/>
    </row>
    <row r="42" spans="1:8" ht="14.25" customHeight="1">
      <c r="A42" s="130">
        <v>39</v>
      </c>
      <c r="B42" s="131"/>
      <c r="C42" s="131"/>
      <c r="D42" s="134"/>
      <c r="E42" s="131"/>
      <c r="F42" s="130"/>
      <c r="G42" s="131"/>
      <c r="H42" s="131"/>
    </row>
    <row r="43" spans="1:8" ht="14.25" customHeight="1">
      <c r="A43" s="130">
        <v>40</v>
      </c>
      <c r="B43" s="131"/>
      <c r="C43" s="131"/>
      <c r="D43" s="134"/>
      <c r="E43" s="131"/>
      <c r="F43" s="131"/>
      <c r="G43" s="131"/>
      <c r="H43" s="131"/>
    </row>
    <row r="44" spans="1:8" ht="14.25" customHeight="1">
      <c r="A44" s="130">
        <v>41</v>
      </c>
      <c r="B44" s="131"/>
      <c r="C44" s="131"/>
      <c r="D44" s="134"/>
      <c r="E44" s="131"/>
      <c r="F44" s="130"/>
      <c r="G44" s="131"/>
      <c r="H44" s="22"/>
    </row>
    <row r="45" spans="1:8" ht="14.25" customHeight="1">
      <c r="A45" s="130">
        <v>42</v>
      </c>
      <c r="B45" s="131"/>
      <c r="C45" s="131"/>
      <c r="D45" s="134"/>
      <c r="E45" s="131"/>
      <c r="F45" s="130"/>
      <c r="G45" s="131"/>
      <c r="H45" s="22"/>
    </row>
    <row r="46" spans="1:8" ht="14.25" customHeight="1">
      <c r="A46" s="130">
        <v>43</v>
      </c>
      <c r="B46" s="131"/>
      <c r="C46" s="131"/>
      <c r="D46" s="134"/>
      <c r="E46" s="131"/>
      <c r="F46" s="130"/>
      <c r="G46" s="131"/>
      <c r="H46" s="22"/>
    </row>
    <row r="47" spans="1:8" ht="14.25" customHeight="1">
      <c r="A47" s="130">
        <v>44</v>
      </c>
      <c r="B47" s="131"/>
      <c r="C47" s="131"/>
      <c r="D47" s="134"/>
      <c r="E47" s="131"/>
      <c r="F47" s="131"/>
      <c r="G47" s="131"/>
      <c r="H47" s="22"/>
    </row>
    <row r="48" spans="1:8" ht="14.25" customHeight="1">
      <c r="A48" s="130">
        <v>45</v>
      </c>
      <c r="B48" s="131"/>
      <c r="C48" s="131"/>
      <c r="D48" s="134"/>
      <c r="E48" s="131"/>
      <c r="F48" s="130"/>
      <c r="G48" s="131"/>
      <c r="H48" s="22"/>
    </row>
    <row r="49" spans="1:8" ht="14.25" customHeight="1">
      <c r="A49" s="130">
        <v>46</v>
      </c>
      <c r="B49" s="131"/>
      <c r="C49" s="131"/>
      <c r="D49" s="134"/>
      <c r="E49" s="131"/>
      <c r="F49" s="130"/>
      <c r="G49" s="131"/>
      <c r="H49" s="22"/>
    </row>
    <row r="50" spans="1:8" ht="14.25" customHeight="1">
      <c r="A50" s="130">
        <v>47</v>
      </c>
      <c r="B50" s="131"/>
      <c r="C50" s="131"/>
      <c r="D50" s="134"/>
      <c r="E50" s="131"/>
      <c r="F50" s="130"/>
      <c r="G50" s="131"/>
      <c r="H50" s="22"/>
    </row>
    <row r="51" spans="1:8" ht="14.25" customHeight="1">
      <c r="A51" s="130">
        <v>48</v>
      </c>
      <c r="B51" s="131"/>
      <c r="C51" s="131"/>
      <c r="D51" s="134"/>
      <c r="E51" s="131"/>
      <c r="F51" s="131"/>
      <c r="G51" s="131"/>
      <c r="H51" s="22"/>
    </row>
    <row r="52" spans="1:8" ht="14.25" customHeight="1">
      <c r="A52" s="130">
        <v>49</v>
      </c>
      <c r="B52" s="131"/>
      <c r="C52" s="131"/>
      <c r="D52" s="134"/>
      <c r="E52" s="131"/>
      <c r="F52" s="130"/>
      <c r="G52" s="131"/>
      <c r="H52" s="22"/>
    </row>
    <row r="53" spans="1:8" ht="14.25" customHeight="1">
      <c r="A53" s="130">
        <v>50</v>
      </c>
      <c r="B53" s="131"/>
      <c r="C53" s="131"/>
      <c r="D53" s="134"/>
      <c r="E53" s="131"/>
      <c r="F53" s="130"/>
      <c r="G53" s="131"/>
      <c r="H53" s="22"/>
    </row>
    <row r="54" spans="1:8" ht="14.25" customHeight="1">
      <c r="A54" s="130">
        <v>51</v>
      </c>
      <c r="B54" s="131"/>
      <c r="C54" s="131"/>
      <c r="D54" s="134"/>
      <c r="E54" s="131"/>
      <c r="F54" s="130"/>
      <c r="G54" s="131"/>
      <c r="H54" s="22"/>
    </row>
    <row r="55" spans="1:8" ht="14.25" customHeight="1">
      <c r="A55" s="130">
        <v>52</v>
      </c>
      <c r="B55" s="131"/>
      <c r="C55" s="131"/>
      <c r="D55" s="134"/>
      <c r="E55" s="131"/>
      <c r="F55" s="131"/>
      <c r="G55" s="131"/>
      <c r="H55" s="22"/>
    </row>
    <row r="56" spans="1:8" ht="14.25" customHeight="1">
      <c r="A56" s="130">
        <v>53</v>
      </c>
      <c r="B56" s="131"/>
      <c r="C56" s="131"/>
      <c r="D56" s="134"/>
      <c r="E56" s="131"/>
      <c r="F56" s="130"/>
      <c r="G56" s="131"/>
      <c r="H56" s="22"/>
    </row>
    <row r="57" spans="1:8" ht="14.25" customHeight="1">
      <c r="A57" s="130">
        <v>54</v>
      </c>
      <c r="B57" s="131"/>
      <c r="C57" s="131"/>
      <c r="D57" s="134"/>
      <c r="E57" s="131"/>
      <c r="F57" s="130"/>
      <c r="G57" s="131"/>
      <c r="H57" s="22"/>
    </row>
    <row r="58" spans="1:8" ht="14.25" customHeight="1">
      <c r="A58" s="130">
        <v>55</v>
      </c>
      <c r="B58" s="131"/>
      <c r="C58" s="131"/>
      <c r="D58" s="134"/>
      <c r="E58" s="131"/>
      <c r="F58" s="130"/>
      <c r="G58" s="131"/>
      <c r="H58" s="22"/>
    </row>
    <row r="59" spans="1:8" ht="14.25" customHeight="1">
      <c r="A59" s="130">
        <v>56</v>
      </c>
      <c r="B59" s="131"/>
      <c r="C59" s="131"/>
      <c r="D59" s="134"/>
      <c r="E59" s="131"/>
      <c r="F59" s="131"/>
      <c r="G59" s="131"/>
      <c r="H59" s="22"/>
    </row>
    <row r="60" spans="1:8" ht="14.25" customHeight="1">
      <c r="A60" s="130">
        <v>57</v>
      </c>
      <c r="B60" s="131"/>
      <c r="C60" s="131"/>
      <c r="D60" s="134"/>
      <c r="E60" s="131"/>
      <c r="F60" s="130"/>
      <c r="G60" s="131"/>
      <c r="H60" s="131"/>
    </row>
    <row r="61" spans="1:8" ht="14.25" customHeight="1">
      <c r="A61" s="130">
        <v>58</v>
      </c>
      <c r="B61" s="131"/>
      <c r="C61" s="131"/>
      <c r="D61" s="134"/>
      <c r="E61" s="131"/>
      <c r="F61" s="130"/>
      <c r="G61" s="131"/>
      <c r="H61" s="131"/>
    </row>
    <row r="62" spans="1:8" ht="14.25" customHeight="1">
      <c r="A62" s="130">
        <v>59</v>
      </c>
      <c r="B62" s="131"/>
      <c r="C62" s="131"/>
      <c r="D62" s="134"/>
      <c r="E62" s="131"/>
      <c r="F62" s="130"/>
      <c r="G62" s="131"/>
      <c r="H62" s="131"/>
    </row>
    <row r="63" spans="1:8" ht="14.25" customHeight="1">
      <c r="A63" s="130">
        <v>60</v>
      </c>
      <c r="B63" s="131"/>
      <c r="C63" s="131"/>
      <c r="D63" s="134"/>
      <c r="E63" s="131"/>
      <c r="F63" s="131"/>
      <c r="G63" s="131"/>
      <c r="H63" s="131"/>
    </row>
    <row r="64" spans="1:8" ht="14.25" customHeight="1">
      <c r="A64" s="130">
        <v>61</v>
      </c>
      <c r="B64" s="131"/>
      <c r="C64" s="131"/>
      <c r="D64" s="134"/>
      <c r="E64" s="131"/>
      <c r="F64" s="130"/>
      <c r="G64" s="131"/>
      <c r="H64" s="131"/>
    </row>
    <row r="65" spans="1:8" ht="14.25" customHeight="1">
      <c r="A65" s="130">
        <v>62</v>
      </c>
      <c r="B65" s="131"/>
      <c r="C65" s="131"/>
      <c r="D65" s="134"/>
      <c r="E65" s="131"/>
      <c r="F65" s="130"/>
      <c r="G65" s="131"/>
      <c r="H65" s="131"/>
    </row>
    <row r="66" spans="1:8" ht="14.25" customHeight="1">
      <c r="A66" s="130">
        <v>63</v>
      </c>
      <c r="B66" s="131"/>
      <c r="C66" s="131"/>
      <c r="D66" s="134"/>
      <c r="E66" s="131"/>
      <c r="F66" s="130"/>
      <c r="G66" s="131"/>
      <c r="H66" s="131"/>
    </row>
    <row r="67" spans="1:8" ht="14.25" customHeight="1">
      <c r="A67" s="130">
        <v>64</v>
      </c>
      <c r="B67" s="131"/>
      <c r="C67" s="131"/>
      <c r="D67" s="134"/>
      <c r="E67" s="131"/>
      <c r="F67" s="131"/>
      <c r="G67" s="131"/>
      <c r="H67" s="131"/>
    </row>
    <row r="68" spans="1:8" ht="14.25" customHeight="1">
      <c r="A68" s="130">
        <v>65</v>
      </c>
      <c r="B68" s="131"/>
      <c r="C68" s="130"/>
      <c r="D68" s="134"/>
      <c r="E68" s="131"/>
      <c r="F68" s="130"/>
      <c r="G68" s="131"/>
      <c r="H68" s="131"/>
    </row>
    <row r="69" spans="1:8" ht="14.25" customHeight="1">
      <c r="A69" s="130">
        <v>66</v>
      </c>
      <c r="B69" s="131"/>
      <c r="C69" s="130"/>
      <c r="D69" s="134"/>
      <c r="E69" s="131"/>
      <c r="F69" s="130"/>
      <c r="G69" s="131"/>
      <c r="H69" s="131"/>
    </row>
    <row r="70" spans="1:8" ht="14.25" customHeight="1">
      <c r="A70" s="130">
        <v>67</v>
      </c>
      <c r="B70" s="131"/>
      <c r="C70" s="130"/>
      <c r="D70" s="134"/>
      <c r="E70" s="131"/>
      <c r="F70" s="130"/>
      <c r="G70" s="131"/>
      <c r="H70" s="131"/>
    </row>
    <row r="71" spans="1:8" ht="14.25" customHeight="1">
      <c r="A71" s="130">
        <v>68</v>
      </c>
      <c r="B71" s="131"/>
      <c r="C71" s="130"/>
      <c r="D71" s="134"/>
      <c r="E71" s="131"/>
      <c r="F71" s="131"/>
      <c r="G71" s="131"/>
      <c r="H71" s="131"/>
    </row>
    <row r="72" spans="1:8" ht="14.25" customHeight="1">
      <c r="A72" s="130">
        <v>69</v>
      </c>
      <c r="B72" s="131"/>
      <c r="C72" s="130"/>
      <c r="D72" s="134"/>
      <c r="E72" s="131"/>
      <c r="F72" s="130"/>
      <c r="G72" s="131"/>
      <c r="H72" s="131"/>
    </row>
    <row r="73" spans="1:8" ht="14.25" customHeight="1">
      <c r="A73" s="130">
        <v>70</v>
      </c>
      <c r="B73" s="131"/>
      <c r="C73" s="130"/>
      <c r="D73" s="134"/>
      <c r="E73" s="131"/>
      <c r="F73" s="130"/>
      <c r="G73" s="131"/>
      <c r="H73" s="131"/>
    </row>
    <row r="74" spans="1:8" ht="14.25" customHeight="1">
      <c r="A74" s="130">
        <v>71</v>
      </c>
      <c r="B74" s="131"/>
      <c r="C74" s="130"/>
      <c r="D74" s="134"/>
      <c r="E74" s="131"/>
      <c r="F74" s="130"/>
      <c r="G74" s="131"/>
      <c r="H74" s="131"/>
    </row>
    <row r="75" spans="1:8" ht="14.25" customHeight="1">
      <c r="A75" s="130">
        <v>72</v>
      </c>
      <c r="B75" s="131"/>
      <c r="C75" s="130"/>
      <c r="D75" s="134"/>
      <c r="E75" s="131"/>
      <c r="F75" s="131"/>
      <c r="G75" s="131"/>
      <c r="H75" s="131"/>
    </row>
    <row r="76" spans="1:8" ht="14.25" customHeight="1">
      <c r="A76" s="130">
        <v>73</v>
      </c>
      <c r="B76" s="131"/>
      <c r="C76" s="131"/>
      <c r="D76" s="134"/>
      <c r="E76" s="131"/>
      <c r="F76" s="130"/>
      <c r="G76" s="131"/>
      <c r="H76" s="131"/>
    </row>
    <row r="77" spans="1:8" ht="14.25" customHeight="1">
      <c r="A77" s="130">
        <v>74</v>
      </c>
      <c r="B77" s="131"/>
      <c r="C77" s="131"/>
      <c r="D77" s="134"/>
      <c r="E77" s="131"/>
      <c r="F77" s="130"/>
      <c r="G77" s="131"/>
      <c r="H77" s="131"/>
    </row>
    <row r="78" spans="1:8" ht="14.25" customHeight="1">
      <c r="A78" s="130">
        <v>75</v>
      </c>
      <c r="B78" s="131"/>
      <c r="C78" s="131"/>
      <c r="D78" s="134"/>
      <c r="E78" s="131"/>
      <c r="F78" s="130"/>
      <c r="G78" s="131"/>
      <c r="H78" s="131"/>
    </row>
    <row r="79" spans="1:8" ht="14.25" customHeight="1">
      <c r="A79" s="130">
        <v>76</v>
      </c>
      <c r="B79" s="131"/>
      <c r="C79" s="131"/>
      <c r="D79" s="134"/>
      <c r="E79" s="131"/>
      <c r="F79" s="131"/>
      <c r="G79" s="131"/>
      <c r="H79" s="131"/>
    </row>
    <row r="80" spans="1:8" ht="14.25" customHeight="1">
      <c r="A80" s="130">
        <v>77</v>
      </c>
      <c r="B80" s="131"/>
      <c r="C80" s="131"/>
      <c r="D80" s="134"/>
      <c r="E80" s="131"/>
      <c r="F80" s="130"/>
      <c r="G80" s="131"/>
      <c r="H80" s="131"/>
    </row>
    <row r="81" spans="1:8" ht="14.25" customHeight="1">
      <c r="A81" s="130">
        <v>78</v>
      </c>
      <c r="B81" s="131"/>
      <c r="C81" s="131"/>
      <c r="D81" s="134"/>
      <c r="E81" s="131"/>
      <c r="F81" s="130"/>
      <c r="G81" s="131"/>
      <c r="H81" s="131"/>
    </row>
    <row r="82" spans="1:8" ht="14.25" customHeight="1">
      <c r="A82" s="130">
        <v>79</v>
      </c>
      <c r="B82" s="131"/>
      <c r="C82" s="131"/>
      <c r="D82" s="134"/>
      <c r="E82" s="131"/>
      <c r="F82" s="130"/>
      <c r="G82" s="131"/>
      <c r="H82" s="131"/>
    </row>
    <row r="83" spans="1:8" ht="14.25" customHeight="1">
      <c r="A83" s="130">
        <v>80</v>
      </c>
      <c r="B83" s="131"/>
      <c r="C83" s="131"/>
      <c r="D83" s="134"/>
      <c r="E83" s="131"/>
      <c r="F83" s="131"/>
      <c r="G83" s="131"/>
      <c r="H83" s="131"/>
    </row>
    <row r="84" spans="1:8" ht="14.25" customHeight="1">
      <c r="A84" s="130">
        <v>81</v>
      </c>
      <c r="B84" s="22"/>
      <c r="C84" s="22"/>
      <c r="D84" s="136"/>
      <c r="E84" s="22"/>
      <c r="F84" s="22"/>
      <c r="G84" s="22"/>
      <c r="H84" s="22"/>
    </row>
    <row r="85" spans="1:8" ht="14.25" customHeight="1">
      <c r="A85" s="130">
        <v>82</v>
      </c>
      <c r="B85" s="22"/>
      <c r="C85" s="22"/>
      <c r="D85" s="136"/>
      <c r="E85" s="22"/>
      <c r="F85" s="22"/>
      <c r="G85" s="22"/>
      <c r="H85" s="22"/>
    </row>
    <row r="86" spans="1:8" ht="14.25" customHeight="1">
      <c r="A86" s="130">
        <v>83</v>
      </c>
      <c r="B86" s="22"/>
      <c r="C86" s="22"/>
      <c r="D86" s="136"/>
      <c r="E86" s="22"/>
      <c r="F86" s="22"/>
      <c r="G86" s="22"/>
      <c r="H86" s="22"/>
    </row>
    <row r="87" spans="1:8" ht="14.25" customHeight="1">
      <c r="A87" s="130">
        <v>84</v>
      </c>
      <c r="B87" s="22"/>
      <c r="C87" s="22"/>
      <c r="D87" s="136"/>
      <c r="E87" s="22"/>
      <c r="F87" s="22"/>
      <c r="G87" s="22"/>
      <c r="H87" s="22"/>
    </row>
    <row r="88" spans="1:8" ht="14.25" customHeight="1">
      <c r="A88" s="130">
        <v>85</v>
      </c>
      <c r="B88" s="22"/>
      <c r="C88" s="22"/>
      <c r="D88" s="136"/>
      <c r="E88" s="22"/>
      <c r="F88" s="22"/>
      <c r="G88" s="22"/>
      <c r="H88" s="22"/>
    </row>
    <row r="89" spans="1:8" ht="14.25" customHeight="1">
      <c r="A89" s="130">
        <v>86</v>
      </c>
      <c r="B89" s="22"/>
      <c r="C89" s="22"/>
      <c r="D89" s="136"/>
      <c r="E89" s="22"/>
      <c r="F89" s="22"/>
      <c r="G89" s="22"/>
      <c r="H89" s="22"/>
    </row>
    <row r="90" spans="1:8" ht="14.25" customHeight="1">
      <c r="A90" s="130">
        <v>87</v>
      </c>
      <c r="B90" s="22"/>
      <c r="C90" s="22"/>
      <c r="D90" s="136"/>
      <c r="E90" s="22"/>
      <c r="F90" s="22"/>
      <c r="G90" s="22"/>
      <c r="H90" s="22"/>
    </row>
    <row r="91" spans="1:8" ht="14.25" customHeight="1">
      <c r="A91" s="130">
        <v>88</v>
      </c>
      <c r="B91" s="22"/>
      <c r="C91" s="22"/>
      <c r="D91" s="136"/>
      <c r="E91" s="22"/>
      <c r="F91" s="22"/>
      <c r="G91" s="22"/>
      <c r="H91" s="22"/>
    </row>
    <row r="92" spans="1:8" ht="14.25" customHeight="1">
      <c r="A92" s="130">
        <v>89</v>
      </c>
      <c r="B92" s="22"/>
      <c r="C92" s="22"/>
      <c r="D92" s="136"/>
      <c r="E92" s="22"/>
      <c r="F92" s="22"/>
      <c r="G92" s="22"/>
      <c r="H92" s="22"/>
    </row>
    <row r="93" spans="1:8" ht="14.25" customHeight="1">
      <c r="A93" s="130">
        <v>90</v>
      </c>
      <c r="B93" s="22"/>
      <c r="C93" s="22"/>
      <c r="D93" s="136"/>
      <c r="E93" s="22"/>
      <c r="F93" s="22"/>
      <c r="G93" s="22"/>
      <c r="H93" s="22"/>
    </row>
    <row r="94" spans="1:8" ht="14.25" customHeight="1">
      <c r="A94" s="130">
        <v>91</v>
      </c>
      <c r="B94" s="22"/>
      <c r="C94" s="22"/>
      <c r="D94" s="136"/>
      <c r="E94" s="22"/>
      <c r="F94" s="22"/>
      <c r="G94" s="22"/>
      <c r="H94" s="22"/>
    </row>
    <row r="95" spans="1:8" ht="14.25" customHeight="1">
      <c r="A95" s="130">
        <v>92</v>
      </c>
      <c r="B95" s="22"/>
      <c r="C95" s="22"/>
      <c r="D95" s="136"/>
      <c r="E95" s="22"/>
      <c r="F95" s="22"/>
      <c r="G95" s="22"/>
      <c r="H95" s="22"/>
    </row>
    <row r="96" spans="1:8" ht="14.25" customHeight="1">
      <c r="A96" s="130">
        <v>93</v>
      </c>
      <c r="B96" s="131"/>
      <c r="C96" s="131"/>
      <c r="D96" s="136"/>
      <c r="E96" s="131"/>
      <c r="F96" s="131"/>
      <c r="G96" s="131"/>
      <c r="H96" s="131"/>
    </row>
    <row r="97" spans="1:8" ht="14.25" customHeight="1">
      <c r="A97" s="130">
        <v>94</v>
      </c>
      <c r="B97" s="131"/>
      <c r="C97" s="131"/>
      <c r="D97" s="136"/>
      <c r="E97" s="131"/>
      <c r="F97" s="131"/>
      <c r="G97" s="131"/>
      <c r="H97" s="131"/>
    </row>
    <row r="98" spans="1:8" ht="14.25" customHeight="1">
      <c r="A98" s="130">
        <v>95</v>
      </c>
      <c r="B98" s="131"/>
      <c r="C98" s="131"/>
      <c r="D98" s="136"/>
      <c r="E98" s="131"/>
      <c r="F98" s="131"/>
      <c r="G98" s="131"/>
      <c r="H98" s="131"/>
    </row>
    <row r="99" spans="1:8" ht="14.25" customHeight="1">
      <c r="A99" s="130">
        <v>96</v>
      </c>
      <c r="B99" s="131"/>
      <c r="C99" s="131"/>
      <c r="D99" s="136"/>
      <c r="E99" s="131"/>
      <c r="F99" s="131"/>
      <c r="G99" s="131"/>
      <c r="H99" s="131"/>
    </row>
    <row r="100" spans="1:8" ht="14.25" customHeight="1">
      <c r="A100" s="130">
        <v>97</v>
      </c>
      <c r="B100" s="131"/>
      <c r="C100" s="131"/>
      <c r="D100" s="136"/>
      <c r="E100" s="131"/>
      <c r="F100" s="131"/>
      <c r="G100" s="131"/>
      <c r="H100" s="131"/>
    </row>
    <row r="101" spans="1:8" ht="14.25" customHeight="1">
      <c r="A101" s="130">
        <v>98</v>
      </c>
      <c r="B101" s="131"/>
      <c r="C101" s="131"/>
      <c r="D101" s="136"/>
      <c r="E101" s="131"/>
      <c r="F101" s="131"/>
      <c r="G101" s="131"/>
      <c r="H101" s="131"/>
    </row>
    <row r="102" spans="1:8" ht="14.25" customHeight="1">
      <c r="A102" s="130">
        <v>99</v>
      </c>
      <c r="B102" s="131"/>
      <c r="C102" s="131"/>
      <c r="D102" s="136"/>
      <c r="E102" s="131"/>
      <c r="F102" s="131"/>
      <c r="G102" s="131"/>
      <c r="H102" s="131"/>
    </row>
    <row r="103" spans="1:8" ht="14.25" customHeight="1">
      <c r="A103" s="130">
        <v>100</v>
      </c>
      <c r="B103" s="131"/>
      <c r="C103" s="131"/>
      <c r="D103" s="136"/>
      <c r="E103" s="131"/>
      <c r="F103" s="131"/>
      <c r="G103" s="131"/>
      <c r="H103" s="131"/>
    </row>
    <row r="104" spans="1:8" ht="14.25" customHeight="1">
      <c r="A104" s="130">
        <v>101</v>
      </c>
      <c r="B104" s="131"/>
      <c r="C104" s="131"/>
      <c r="D104" s="136"/>
      <c r="E104" s="131"/>
      <c r="F104" s="131"/>
      <c r="G104" s="131"/>
      <c r="H104" s="131"/>
    </row>
    <row r="105" spans="1:8" ht="14.25" customHeight="1">
      <c r="A105" s="130">
        <v>102</v>
      </c>
      <c r="B105" s="131"/>
      <c r="C105" s="131"/>
      <c r="D105" s="136"/>
      <c r="E105" s="131"/>
      <c r="F105" s="131"/>
      <c r="G105" s="131"/>
      <c r="H105" s="131"/>
    </row>
    <row r="106" spans="1:8" ht="14.25" customHeight="1">
      <c r="A106" s="130">
        <v>103</v>
      </c>
      <c r="B106" s="131"/>
      <c r="C106" s="131"/>
      <c r="D106" s="136"/>
      <c r="E106" s="131"/>
      <c r="F106" s="131"/>
      <c r="G106" s="131"/>
      <c r="H106" s="131"/>
    </row>
    <row r="107" spans="1:8" ht="14.25" customHeight="1">
      <c r="A107" s="130">
        <v>104</v>
      </c>
      <c r="B107" s="131"/>
      <c r="C107" s="131"/>
      <c r="D107" s="136"/>
      <c r="E107" s="131"/>
      <c r="F107" s="131"/>
      <c r="G107" s="131"/>
      <c r="H107" s="131"/>
    </row>
    <row r="108" spans="1:8" ht="14.25" customHeight="1">
      <c r="A108" s="130">
        <v>105</v>
      </c>
      <c r="B108" s="131"/>
      <c r="C108" s="131"/>
      <c r="D108" s="134"/>
      <c r="E108" s="131"/>
      <c r="F108" s="131"/>
      <c r="G108" s="131"/>
      <c r="H108" s="131"/>
    </row>
    <row r="109" spans="1:8" ht="14.25" customHeight="1">
      <c r="A109" s="130">
        <v>106</v>
      </c>
      <c r="B109" s="131"/>
      <c r="C109" s="131"/>
      <c r="D109" s="134"/>
      <c r="E109" s="131"/>
      <c r="F109" s="131"/>
      <c r="G109" s="131"/>
      <c r="H109" s="131"/>
    </row>
    <row r="110" spans="1:8" ht="14.25" customHeight="1">
      <c r="A110" s="130">
        <v>107</v>
      </c>
      <c r="B110" s="131"/>
      <c r="C110" s="131"/>
      <c r="D110" s="134"/>
      <c r="E110" s="131"/>
      <c r="F110" s="131"/>
      <c r="G110" s="131"/>
      <c r="H110" s="131"/>
    </row>
    <row r="111" spans="1:8" ht="14.25" customHeight="1">
      <c r="A111" s="130">
        <v>108</v>
      </c>
      <c r="B111" s="131"/>
      <c r="C111" s="131"/>
      <c r="D111" s="135"/>
      <c r="E111" s="131"/>
      <c r="F111" s="130"/>
      <c r="G111" s="130"/>
      <c r="H111" s="131"/>
    </row>
    <row r="112" spans="1:8" ht="14.25" customHeight="1">
      <c r="A112" s="130">
        <v>109</v>
      </c>
      <c r="B112" s="131"/>
      <c r="C112" s="131"/>
      <c r="D112" s="134"/>
      <c r="E112" s="131"/>
      <c r="F112" s="130"/>
      <c r="G112" s="130"/>
      <c r="H112" s="131"/>
    </row>
    <row r="113" spans="1:8" ht="14.25" customHeight="1">
      <c r="A113" s="130">
        <v>110</v>
      </c>
      <c r="B113" s="131"/>
      <c r="C113" s="131"/>
      <c r="D113" s="135"/>
      <c r="E113" s="131"/>
      <c r="F113" s="131"/>
      <c r="G113" s="131"/>
      <c r="H113" s="131"/>
    </row>
    <row r="114" spans="1:8" ht="14.25" customHeight="1">
      <c r="A114" s="130">
        <v>111</v>
      </c>
      <c r="B114" s="131"/>
      <c r="C114" s="131"/>
      <c r="D114" s="134"/>
      <c r="E114" s="131"/>
      <c r="F114" s="131"/>
      <c r="G114" s="131"/>
      <c r="H114" s="131"/>
    </row>
    <row r="115" spans="1:8" ht="14.25" customHeight="1">
      <c r="A115" s="130">
        <v>112</v>
      </c>
      <c r="B115" s="131"/>
      <c r="C115" s="131"/>
      <c r="D115" s="134"/>
      <c r="E115" s="131"/>
      <c r="F115" s="131"/>
      <c r="G115" s="131"/>
      <c r="H115" s="131"/>
    </row>
    <row r="116" spans="1:8" ht="14.25" customHeight="1">
      <c r="A116" s="130">
        <v>113</v>
      </c>
      <c r="B116" s="131"/>
      <c r="C116" s="131"/>
      <c r="D116" s="134"/>
      <c r="E116" s="131"/>
      <c r="F116" s="131"/>
      <c r="G116" s="131"/>
      <c r="H116" s="131"/>
    </row>
    <row r="117" spans="1:8" ht="14.25" customHeight="1">
      <c r="A117" s="130">
        <v>114</v>
      </c>
      <c r="B117" s="131"/>
      <c r="C117" s="131"/>
      <c r="D117" s="134"/>
      <c r="E117" s="131"/>
      <c r="F117" s="131"/>
      <c r="G117" s="131"/>
      <c r="H117" s="131"/>
    </row>
    <row r="118" spans="1:8" ht="14.25" customHeight="1">
      <c r="A118" s="130">
        <v>115</v>
      </c>
      <c r="B118" s="131"/>
      <c r="C118" s="131"/>
      <c r="D118" s="134"/>
      <c r="E118" s="131"/>
      <c r="F118" s="131"/>
      <c r="G118" s="131"/>
      <c r="H118" s="131"/>
    </row>
    <row r="119" spans="1:8" ht="14.25" customHeight="1">
      <c r="A119" s="130">
        <v>116</v>
      </c>
      <c r="B119" s="131"/>
      <c r="C119" s="131"/>
      <c r="D119" s="134"/>
      <c r="E119" s="131"/>
      <c r="F119" s="131"/>
      <c r="G119" s="131"/>
      <c r="H119" s="131"/>
    </row>
    <row r="120" spans="1:8" ht="14.25" customHeight="1">
      <c r="A120" s="130">
        <v>117</v>
      </c>
      <c r="B120" s="131"/>
      <c r="C120" s="131"/>
      <c r="D120" s="134"/>
      <c r="E120" s="131"/>
      <c r="F120" s="131"/>
      <c r="G120" s="131"/>
      <c r="H120" s="131"/>
    </row>
    <row r="121" spans="1:8" ht="14.25" customHeight="1">
      <c r="A121" s="130">
        <v>118</v>
      </c>
      <c r="B121" s="131"/>
      <c r="C121" s="131"/>
      <c r="D121" s="134"/>
      <c r="E121" s="131"/>
      <c r="F121" s="131"/>
      <c r="G121" s="131"/>
      <c r="H121" s="131"/>
    </row>
    <row r="122" spans="1:8" ht="14.25" customHeight="1">
      <c r="A122" s="130">
        <v>119</v>
      </c>
      <c r="B122" s="131"/>
      <c r="C122" s="131"/>
      <c r="D122" s="134"/>
      <c r="E122" s="131"/>
      <c r="F122" s="131"/>
      <c r="G122" s="131"/>
      <c r="H122" s="131"/>
    </row>
    <row r="123" spans="1:8" ht="14.25" customHeight="1">
      <c r="A123" s="130">
        <v>120</v>
      </c>
      <c r="B123" s="131"/>
      <c r="C123" s="131"/>
      <c r="D123" s="134"/>
      <c r="E123" s="131"/>
      <c r="F123" s="131"/>
      <c r="G123" s="131"/>
      <c r="H123" s="131"/>
    </row>
    <row r="124" spans="1:8" ht="14.25" customHeight="1">
      <c r="A124" s="130">
        <v>121</v>
      </c>
      <c r="B124" s="131"/>
      <c r="C124" s="131"/>
      <c r="D124" s="134"/>
      <c r="E124" s="131"/>
      <c r="F124" s="131"/>
      <c r="G124" s="131"/>
      <c r="H124" s="131"/>
    </row>
    <row r="125" spans="1:8" ht="14.25" customHeight="1">
      <c r="A125" s="130">
        <v>122</v>
      </c>
      <c r="B125" s="131"/>
      <c r="C125" s="131"/>
      <c r="D125" s="134"/>
      <c r="E125" s="131"/>
      <c r="F125" s="131"/>
      <c r="G125" s="131"/>
      <c r="H125" s="131"/>
    </row>
    <row r="126" spans="1:8" ht="14.25" customHeight="1">
      <c r="A126" s="130">
        <v>123</v>
      </c>
      <c r="B126" s="131"/>
      <c r="C126" s="131"/>
      <c r="D126" s="134"/>
      <c r="E126" s="131"/>
      <c r="F126" s="131"/>
      <c r="G126" s="131"/>
      <c r="H126" s="131"/>
    </row>
    <row r="127" spans="1:8" ht="14.25" customHeight="1">
      <c r="A127" s="130">
        <v>124</v>
      </c>
      <c r="B127" s="131"/>
      <c r="C127" s="131"/>
      <c r="D127" s="134"/>
      <c r="E127" s="131"/>
      <c r="F127" s="131"/>
      <c r="G127" s="131"/>
      <c r="H127" s="131"/>
    </row>
    <row r="128" spans="1:8" ht="14.25" customHeight="1">
      <c r="A128" s="130">
        <v>125</v>
      </c>
      <c r="B128" s="131"/>
      <c r="C128" s="131"/>
      <c r="D128" s="134"/>
      <c r="E128" s="131"/>
      <c r="F128" s="131"/>
      <c r="G128" s="131"/>
      <c r="H128" s="131"/>
    </row>
    <row r="129" spans="1:8" ht="14.25" customHeight="1">
      <c r="A129" s="130">
        <v>126</v>
      </c>
      <c r="B129" s="131"/>
      <c r="C129" s="131"/>
      <c r="D129" s="135"/>
      <c r="E129" s="131"/>
      <c r="F129" s="130"/>
      <c r="G129" s="130"/>
      <c r="H129" s="131"/>
    </row>
    <row r="130" spans="1:8" ht="14.25" customHeight="1">
      <c r="A130" s="130">
        <v>127</v>
      </c>
      <c r="B130" s="131"/>
      <c r="C130" s="131"/>
      <c r="D130" s="134"/>
      <c r="E130" s="131"/>
      <c r="F130" s="130"/>
      <c r="G130" s="130"/>
      <c r="H130" s="131"/>
    </row>
    <row r="131" spans="1:8" ht="14.25" customHeight="1">
      <c r="A131" s="130">
        <v>128</v>
      </c>
      <c r="B131" s="131"/>
      <c r="C131" s="131"/>
      <c r="D131" s="134"/>
      <c r="E131" s="131"/>
      <c r="F131" s="131"/>
      <c r="G131" s="131"/>
      <c r="H131" s="131"/>
    </row>
    <row r="132" spans="1:8" ht="14.25" customHeight="1">
      <c r="A132" s="130">
        <v>129</v>
      </c>
      <c r="B132" s="131"/>
      <c r="C132" s="131"/>
      <c r="D132" s="134"/>
      <c r="E132" s="131"/>
      <c r="F132" s="131"/>
      <c r="G132" s="131"/>
      <c r="H132" s="131"/>
    </row>
    <row r="133" spans="1:8" ht="14.25" customHeight="1">
      <c r="A133" s="130">
        <v>130</v>
      </c>
      <c r="B133" s="131"/>
      <c r="C133" s="131"/>
      <c r="D133" s="134"/>
      <c r="E133" s="131"/>
      <c r="F133" s="131"/>
      <c r="G133" s="131"/>
      <c r="H133" s="131"/>
    </row>
    <row r="134" spans="1:8" ht="14.25" customHeight="1">
      <c r="A134" s="130">
        <v>131</v>
      </c>
      <c r="B134" s="131"/>
      <c r="C134" s="131"/>
      <c r="D134" s="134"/>
      <c r="E134" s="131"/>
      <c r="F134" s="131"/>
      <c r="G134" s="131"/>
      <c r="H134" s="131"/>
    </row>
    <row r="135" spans="1:8" ht="14.25" customHeight="1">
      <c r="A135" s="130">
        <v>132</v>
      </c>
      <c r="B135" s="131"/>
      <c r="C135" s="131"/>
      <c r="D135" s="134"/>
      <c r="E135" s="131"/>
      <c r="F135" s="131"/>
      <c r="G135" s="131"/>
      <c r="H135" s="131"/>
    </row>
    <row r="136" spans="1:8" ht="14.25" customHeight="1">
      <c r="A136" s="130">
        <v>133</v>
      </c>
      <c r="B136" s="131"/>
      <c r="C136" s="131"/>
      <c r="D136" s="134"/>
      <c r="E136" s="131"/>
      <c r="F136" s="131"/>
      <c r="G136" s="131"/>
      <c r="H136" s="131"/>
    </row>
    <row r="137" spans="1:8" ht="14.25" customHeight="1">
      <c r="A137" s="130">
        <v>134</v>
      </c>
      <c r="B137" s="131"/>
      <c r="C137" s="131"/>
      <c r="D137" s="134"/>
      <c r="E137" s="131"/>
      <c r="F137" s="131"/>
      <c r="G137" s="131"/>
      <c r="H137" s="131"/>
    </row>
    <row r="138" spans="1:8" ht="14.25" customHeight="1">
      <c r="A138" s="130">
        <v>135</v>
      </c>
      <c r="B138" s="131"/>
      <c r="C138" s="131"/>
      <c r="D138" s="134"/>
      <c r="E138" s="131"/>
      <c r="F138" s="131"/>
      <c r="G138" s="131"/>
      <c r="H138" s="131"/>
    </row>
    <row r="139" spans="1:8" ht="14.25" customHeight="1">
      <c r="A139" s="130">
        <v>136</v>
      </c>
      <c r="B139" s="131"/>
      <c r="C139" s="131"/>
      <c r="D139" s="134"/>
      <c r="E139" s="131"/>
      <c r="F139" s="131"/>
      <c r="G139" s="131"/>
      <c r="H139" s="131"/>
    </row>
    <row r="140" spans="1:8" ht="14.25" customHeight="1">
      <c r="A140" s="130">
        <v>137</v>
      </c>
      <c r="B140" s="131"/>
      <c r="C140" s="131"/>
      <c r="D140" s="134"/>
      <c r="E140" s="131"/>
      <c r="F140" s="131"/>
      <c r="G140" s="131"/>
      <c r="H140" s="131"/>
    </row>
    <row r="141" spans="1:8" ht="14.25" customHeight="1">
      <c r="A141" s="130">
        <v>138</v>
      </c>
      <c r="B141" s="131"/>
      <c r="C141" s="131"/>
      <c r="D141" s="134"/>
      <c r="E141" s="131"/>
      <c r="F141" s="131"/>
      <c r="G141" s="131"/>
      <c r="H141" s="131"/>
    </row>
    <row r="142" spans="1:8" ht="14.25" customHeight="1">
      <c r="A142" s="130">
        <v>139</v>
      </c>
      <c r="B142" s="131"/>
      <c r="C142" s="131"/>
      <c r="D142" s="134"/>
      <c r="E142" s="131"/>
      <c r="F142" s="131"/>
      <c r="G142" s="131"/>
      <c r="H142" s="131"/>
    </row>
    <row r="143" spans="1:8" ht="14.25" customHeight="1">
      <c r="A143" s="130">
        <v>140</v>
      </c>
      <c r="B143" s="131"/>
      <c r="C143" s="131"/>
      <c r="D143" s="134"/>
      <c r="E143" s="131"/>
      <c r="F143" s="131"/>
      <c r="G143" s="131"/>
      <c r="H143" s="131"/>
    </row>
    <row r="144" spans="1:8" ht="14.25" customHeight="1">
      <c r="A144" s="130">
        <v>141</v>
      </c>
      <c r="B144" s="131"/>
      <c r="C144" s="131"/>
      <c r="D144" s="134"/>
      <c r="E144" s="131"/>
      <c r="F144" s="131"/>
      <c r="G144" s="131"/>
      <c r="H144" s="131"/>
    </row>
    <row r="145" spans="1:8" ht="14.25" customHeight="1">
      <c r="A145" s="130">
        <v>142</v>
      </c>
      <c r="B145" s="131"/>
      <c r="C145" s="131"/>
      <c r="D145" s="134"/>
      <c r="E145" s="131"/>
      <c r="F145" s="131"/>
      <c r="G145" s="131"/>
      <c r="H145" s="131"/>
    </row>
    <row r="146" spans="1:8" ht="14.25" customHeight="1">
      <c r="A146" s="130">
        <v>143</v>
      </c>
      <c r="B146" s="131"/>
      <c r="C146" s="131"/>
      <c r="D146" s="134"/>
      <c r="E146" s="131"/>
      <c r="F146" s="131"/>
      <c r="G146" s="131"/>
      <c r="H146" s="131"/>
    </row>
    <row r="147" spans="1:8" ht="14.25" customHeight="1">
      <c r="A147" s="130">
        <v>144</v>
      </c>
      <c r="B147" s="131"/>
      <c r="C147" s="131"/>
      <c r="D147" s="135"/>
      <c r="E147" s="131"/>
      <c r="F147" s="130"/>
      <c r="G147" s="130"/>
      <c r="H147" s="131"/>
    </row>
    <row r="148" spans="1:8" ht="14.25" customHeight="1">
      <c r="A148" s="130">
        <v>145</v>
      </c>
      <c r="B148" s="131"/>
      <c r="C148" s="131"/>
      <c r="D148" s="134"/>
      <c r="E148" s="131"/>
      <c r="F148" s="130"/>
      <c r="G148" s="130"/>
      <c r="H148" s="131"/>
    </row>
    <row r="149" spans="1:8" ht="14.25" customHeight="1">
      <c r="A149" s="130">
        <v>146</v>
      </c>
      <c r="B149" s="131"/>
      <c r="C149" s="131"/>
      <c r="D149" s="134"/>
      <c r="E149" s="131"/>
      <c r="F149" s="131"/>
      <c r="G149" s="131"/>
      <c r="H149" s="131"/>
    </row>
    <row r="150" spans="1:8" ht="14.25" customHeight="1">
      <c r="A150" s="130">
        <v>147</v>
      </c>
      <c r="B150" s="131"/>
      <c r="C150" s="131"/>
      <c r="D150" s="134"/>
      <c r="E150" s="131"/>
      <c r="F150" s="131"/>
      <c r="G150" s="131"/>
      <c r="H150" s="131"/>
    </row>
    <row r="151" spans="1:8" ht="14.25" customHeight="1">
      <c r="A151" s="130">
        <v>148</v>
      </c>
      <c r="B151" s="131"/>
      <c r="C151" s="131"/>
      <c r="D151" s="134"/>
      <c r="E151" s="131"/>
      <c r="F151" s="131"/>
      <c r="G151" s="131"/>
      <c r="H151" s="131"/>
    </row>
    <row r="152" spans="1:8" ht="14.25" customHeight="1">
      <c r="A152" s="130">
        <v>149</v>
      </c>
      <c r="B152" s="131"/>
      <c r="C152" s="131"/>
      <c r="D152" s="134"/>
      <c r="E152" s="131"/>
      <c r="F152" s="131"/>
      <c r="G152" s="131"/>
      <c r="H152" s="131"/>
    </row>
    <row r="153" spans="1:8" ht="14.25" customHeight="1">
      <c r="A153" s="130">
        <v>150</v>
      </c>
      <c r="B153" s="131"/>
      <c r="C153" s="131"/>
      <c r="D153" s="134"/>
      <c r="E153" s="131"/>
      <c r="F153" s="131"/>
      <c r="G153" s="131"/>
      <c r="H153" s="131"/>
    </row>
    <row r="154" spans="1:8" ht="14.25" customHeight="1">
      <c r="A154" s="130">
        <v>151</v>
      </c>
      <c r="B154" s="131"/>
      <c r="C154" s="131"/>
      <c r="D154" s="134"/>
      <c r="E154" s="131"/>
      <c r="F154" s="131"/>
      <c r="G154" s="131"/>
      <c r="H154" s="131"/>
    </row>
    <row r="155" spans="1:8" ht="14.25" customHeight="1">
      <c r="A155" s="130">
        <v>152</v>
      </c>
      <c r="B155" s="131"/>
      <c r="C155" s="131"/>
      <c r="D155" s="134"/>
      <c r="E155" s="131"/>
      <c r="F155" s="131"/>
      <c r="G155" s="131"/>
      <c r="H155" s="131"/>
    </row>
    <row r="156" spans="1:8" ht="14.25" customHeight="1">
      <c r="A156" s="130">
        <v>153</v>
      </c>
      <c r="B156" s="131"/>
      <c r="C156" s="131"/>
      <c r="D156" s="134"/>
      <c r="E156" s="131"/>
      <c r="F156" s="131"/>
      <c r="G156" s="131"/>
      <c r="H156" s="131"/>
    </row>
    <row r="157" spans="1:8" ht="14.25" customHeight="1">
      <c r="A157" s="130">
        <v>154</v>
      </c>
      <c r="B157" s="131"/>
      <c r="C157" s="131"/>
      <c r="D157" s="134"/>
      <c r="E157" s="131"/>
      <c r="F157" s="131"/>
      <c r="G157" s="131"/>
      <c r="H157" s="131"/>
    </row>
    <row r="158" spans="1:8" ht="14.25" customHeight="1">
      <c r="A158" s="130">
        <v>155</v>
      </c>
      <c r="B158" s="131"/>
      <c r="C158" s="131"/>
      <c r="D158" s="134"/>
      <c r="E158" s="131"/>
      <c r="F158" s="131"/>
      <c r="G158" s="131"/>
      <c r="H158" s="131"/>
    </row>
    <row r="159" spans="1:8" ht="14.25" customHeight="1">
      <c r="A159" s="130">
        <v>156</v>
      </c>
      <c r="B159" s="131"/>
      <c r="C159" s="131"/>
      <c r="D159" s="134"/>
      <c r="E159" s="131"/>
      <c r="F159" s="131"/>
      <c r="G159" s="131"/>
      <c r="H159" s="131"/>
    </row>
    <row r="160" spans="1:8" ht="14.25" customHeight="1">
      <c r="A160" s="130">
        <v>157</v>
      </c>
      <c r="B160" s="131"/>
      <c r="C160" s="131"/>
      <c r="D160" s="134"/>
      <c r="E160" s="131"/>
      <c r="F160" s="131"/>
      <c r="G160" s="131"/>
      <c r="H160" s="131"/>
    </row>
    <row r="161" spans="1:8" ht="14.25" customHeight="1">
      <c r="A161" s="130">
        <v>158</v>
      </c>
      <c r="B161" s="131"/>
      <c r="C161" s="131"/>
      <c r="D161" s="134"/>
      <c r="E161" s="131"/>
      <c r="F161" s="131"/>
      <c r="G161" s="131"/>
      <c r="H161" s="131"/>
    </row>
    <row r="162" spans="1:8" ht="14.25" customHeight="1">
      <c r="A162" s="130">
        <v>159</v>
      </c>
      <c r="B162" s="131"/>
      <c r="C162" s="131"/>
      <c r="D162" s="134"/>
      <c r="E162" s="131"/>
      <c r="F162" s="131"/>
      <c r="G162" s="131"/>
      <c r="H162" s="131"/>
    </row>
    <row r="163" spans="1:8" ht="14.25" customHeight="1">
      <c r="A163" s="130">
        <v>160</v>
      </c>
      <c r="B163" s="131"/>
      <c r="C163" s="131"/>
      <c r="D163" s="134"/>
      <c r="E163" s="131"/>
      <c r="F163" s="131"/>
      <c r="G163" s="131"/>
      <c r="H163" s="131"/>
    </row>
    <row r="164" spans="1:8" ht="14.25" customHeight="1">
      <c r="A164" s="130">
        <v>161</v>
      </c>
      <c r="B164" s="131"/>
      <c r="C164" s="131"/>
      <c r="D164" s="134"/>
      <c r="E164" s="131"/>
      <c r="F164" s="131"/>
      <c r="G164" s="131"/>
      <c r="H164" s="131"/>
    </row>
    <row r="165" spans="1:8" ht="14.25" customHeight="1">
      <c r="A165" s="130">
        <v>162</v>
      </c>
      <c r="B165" s="131"/>
      <c r="C165" s="131"/>
      <c r="D165" s="135"/>
      <c r="E165" s="130"/>
      <c r="F165" s="131"/>
      <c r="G165" s="130"/>
      <c r="H165" s="131"/>
    </row>
    <row r="166" spans="1:8" ht="14.25" customHeight="1">
      <c r="A166" s="130">
        <v>163</v>
      </c>
      <c r="B166" s="131"/>
      <c r="C166" s="131"/>
      <c r="D166" s="134"/>
      <c r="E166" s="131"/>
      <c r="F166" s="131"/>
      <c r="G166" s="131"/>
      <c r="H166" s="131"/>
    </row>
    <row r="167" spans="1:8" ht="14.25" customHeight="1">
      <c r="A167" s="130">
        <v>164</v>
      </c>
      <c r="B167" s="131"/>
      <c r="C167" s="131"/>
      <c r="D167" s="134"/>
      <c r="E167" s="131"/>
      <c r="F167" s="131"/>
      <c r="G167" s="131"/>
      <c r="H167" s="131"/>
    </row>
    <row r="168" spans="1:8" ht="14.25" customHeight="1">
      <c r="A168" s="130">
        <v>165</v>
      </c>
      <c r="B168" s="131"/>
      <c r="C168" s="131"/>
      <c r="D168" s="134"/>
      <c r="E168" s="131"/>
      <c r="F168" s="130"/>
      <c r="G168" s="131"/>
      <c r="H168" s="131"/>
    </row>
    <row r="169" spans="1:8" ht="14.25" customHeight="1">
      <c r="A169" s="130">
        <v>166</v>
      </c>
      <c r="B169" s="131"/>
      <c r="C169" s="131"/>
      <c r="D169" s="134"/>
      <c r="E169" s="131"/>
      <c r="F169" s="130"/>
      <c r="G169" s="131"/>
      <c r="H169" s="131"/>
    </row>
    <row r="170" spans="1:8" ht="14.25" customHeight="1">
      <c r="A170" s="130">
        <v>167</v>
      </c>
      <c r="B170" s="131"/>
      <c r="C170" s="131"/>
      <c r="D170" s="134"/>
      <c r="E170" s="131"/>
      <c r="F170" s="130"/>
      <c r="G170" s="131"/>
      <c r="H170" s="131"/>
    </row>
    <row r="171" spans="1:8" ht="14.25" customHeight="1">
      <c r="A171" s="130">
        <v>168</v>
      </c>
      <c r="B171" s="131"/>
      <c r="C171" s="131"/>
      <c r="D171" s="134"/>
      <c r="E171" s="131"/>
      <c r="F171" s="130"/>
      <c r="G171" s="131"/>
      <c r="H171" s="131"/>
    </row>
    <row r="172" spans="1:8" ht="14.25" customHeight="1">
      <c r="A172" s="130">
        <v>169</v>
      </c>
      <c r="B172" s="131"/>
      <c r="C172" s="131"/>
      <c r="D172" s="134"/>
      <c r="E172" s="130"/>
      <c r="F172" s="131"/>
      <c r="G172" s="130"/>
      <c r="H172" s="131"/>
    </row>
    <row r="173" spans="1:8" ht="14.25" customHeight="1">
      <c r="A173" s="130">
        <v>170</v>
      </c>
      <c r="B173" s="131"/>
      <c r="C173" s="131"/>
      <c r="D173" s="134"/>
      <c r="E173" s="131"/>
      <c r="F173" s="131"/>
      <c r="G173" s="131"/>
      <c r="H173" s="131"/>
    </row>
    <row r="174" spans="1:8" ht="14.25" customHeight="1">
      <c r="A174" s="130">
        <v>171</v>
      </c>
      <c r="B174" s="131"/>
      <c r="C174" s="131"/>
      <c r="D174" s="134"/>
      <c r="E174" s="131"/>
      <c r="F174" s="131"/>
      <c r="G174" s="131"/>
      <c r="H174" s="131"/>
    </row>
    <row r="175" spans="1:8" ht="14.25" customHeight="1">
      <c r="A175" s="130">
        <v>172</v>
      </c>
      <c r="B175" s="131"/>
      <c r="C175" s="131"/>
      <c r="D175" s="134"/>
      <c r="E175" s="131"/>
      <c r="F175" s="131"/>
      <c r="G175" s="131"/>
      <c r="H175" s="131"/>
    </row>
    <row r="176" spans="1:8" ht="14.25" customHeight="1">
      <c r="A176" s="130">
        <v>173</v>
      </c>
      <c r="B176" s="131"/>
      <c r="C176" s="131"/>
      <c r="D176" s="134"/>
      <c r="E176" s="131"/>
      <c r="F176" s="131"/>
      <c r="G176" s="131"/>
      <c r="H176" s="131"/>
    </row>
    <row r="177" spans="1:8" ht="14.25" customHeight="1">
      <c r="A177" s="130">
        <v>174</v>
      </c>
      <c r="B177" s="131"/>
      <c r="C177" s="131"/>
      <c r="D177" s="134"/>
      <c r="E177" s="130"/>
      <c r="F177" s="130"/>
      <c r="G177" s="130"/>
      <c r="H177" s="131"/>
    </row>
    <row r="178" spans="1:8" ht="14.25" customHeight="1">
      <c r="A178" s="130">
        <v>175</v>
      </c>
      <c r="B178" s="131"/>
      <c r="C178" s="131"/>
      <c r="D178" s="134"/>
      <c r="E178" s="130"/>
      <c r="F178" s="131"/>
      <c r="G178" s="130"/>
      <c r="H178" s="131"/>
    </row>
    <row r="179" spans="1:8" ht="14.25" customHeight="1">
      <c r="A179" s="130">
        <v>176</v>
      </c>
      <c r="B179" s="131"/>
      <c r="C179" s="131"/>
      <c r="D179" s="134"/>
      <c r="E179" s="131"/>
      <c r="F179" s="130"/>
      <c r="G179" s="131"/>
      <c r="H179" s="131"/>
    </row>
    <row r="180" spans="1:8" ht="14.25" customHeight="1">
      <c r="A180" s="130">
        <v>177</v>
      </c>
      <c r="B180" s="131"/>
      <c r="C180" s="131"/>
      <c r="D180" s="134"/>
      <c r="E180" s="131"/>
      <c r="F180" s="130"/>
      <c r="G180" s="131"/>
      <c r="H180" s="131"/>
    </row>
    <row r="181" spans="1:8" ht="14.25" customHeight="1">
      <c r="A181" s="130">
        <v>178</v>
      </c>
      <c r="B181" s="131"/>
      <c r="C181" s="131"/>
      <c r="D181" s="134"/>
      <c r="E181" s="131"/>
      <c r="F181" s="130"/>
      <c r="G181" s="131"/>
      <c r="H181" s="131"/>
    </row>
    <row r="182" spans="1:8" ht="14.25" customHeight="1">
      <c r="A182" s="130">
        <v>179</v>
      </c>
      <c r="B182" s="131"/>
      <c r="C182" s="131"/>
      <c r="D182" s="134"/>
      <c r="E182" s="131"/>
      <c r="F182" s="130"/>
      <c r="G182" s="131"/>
      <c r="H182" s="131"/>
    </row>
    <row r="183" spans="1:8" ht="14.25" customHeight="1">
      <c r="A183" s="130">
        <v>180</v>
      </c>
      <c r="B183" s="131"/>
      <c r="C183" s="131"/>
      <c r="D183" s="134"/>
      <c r="E183" s="130"/>
      <c r="F183" s="131"/>
      <c r="G183" s="130"/>
      <c r="H183" s="131"/>
    </row>
    <row r="184" spans="1:8" ht="14.25" customHeight="1">
      <c r="A184" s="130">
        <v>181</v>
      </c>
      <c r="B184" s="131"/>
      <c r="C184" s="131"/>
      <c r="D184" s="134"/>
      <c r="E184" s="131"/>
      <c r="F184" s="131"/>
      <c r="G184" s="131"/>
      <c r="H184" s="131"/>
    </row>
    <row r="185" spans="1:8" ht="14.25" customHeight="1">
      <c r="A185" s="130">
        <v>182</v>
      </c>
      <c r="B185" s="131"/>
      <c r="C185" s="131"/>
      <c r="D185" s="134"/>
      <c r="E185" s="131"/>
      <c r="F185" s="131"/>
      <c r="G185" s="131"/>
      <c r="H185" s="131"/>
    </row>
    <row r="186" spans="1:8" ht="14.25" customHeight="1">
      <c r="A186" s="130">
        <v>183</v>
      </c>
      <c r="B186" s="131"/>
      <c r="C186" s="131"/>
      <c r="D186" s="134"/>
      <c r="E186" s="131"/>
      <c r="F186" s="131"/>
      <c r="G186" s="131"/>
      <c r="H186" s="131"/>
    </row>
    <row r="187" spans="1:8" ht="14.25" customHeight="1">
      <c r="A187" s="130">
        <v>184</v>
      </c>
      <c r="B187" s="131"/>
      <c r="C187" s="131"/>
      <c r="D187" s="134"/>
      <c r="E187" s="131"/>
      <c r="F187" s="131"/>
      <c r="G187" s="131"/>
      <c r="H187" s="131"/>
    </row>
    <row r="188" spans="1:8" ht="14.25" customHeight="1">
      <c r="A188" s="130">
        <v>185</v>
      </c>
      <c r="B188" s="131"/>
      <c r="C188" s="131"/>
      <c r="D188" s="134"/>
      <c r="E188" s="130"/>
      <c r="F188" s="130"/>
      <c r="G188" s="130"/>
      <c r="H188" s="131"/>
    </row>
    <row r="189" spans="1:8" ht="14.25" customHeight="1">
      <c r="A189" s="130">
        <v>186</v>
      </c>
      <c r="B189" s="131"/>
      <c r="C189" s="131"/>
      <c r="D189" s="134"/>
      <c r="E189" s="130"/>
      <c r="F189" s="131"/>
      <c r="G189" s="130"/>
      <c r="H189" s="131"/>
    </row>
    <row r="190" spans="1:8" ht="14.25" customHeight="1">
      <c r="D190" s="126"/>
    </row>
    <row r="191" spans="1:8" ht="14.25" customHeight="1">
      <c r="D191" s="126"/>
    </row>
    <row r="192" spans="1:8" ht="14.25" customHeight="1">
      <c r="D192" s="126"/>
    </row>
    <row r="193" spans="4:4" ht="14.25" customHeight="1">
      <c r="D193" s="126"/>
    </row>
    <row r="194" spans="4:4" ht="14.25" customHeight="1">
      <c r="D194" s="126"/>
    </row>
    <row r="195" spans="4:4" ht="14.25" customHeight="1">
      <c r="D195" s="126"/>
    </row>
    <row r="196" spans="4:4" ht="14.25" customHeight="1">
      <c r="D196" s="126"/>
    </row>
    <row r="197" spans="4:4" ht="14.25" customHeight="1">
      <c r="D197" s="126"/>
    </row>
    <row r="198" spans="4:4" ht="14.25" customHeight="1">
      <c r="D198" s="126"/>
    </row>
    <row r="199" spans="4:4" ht="14.25" customHeight="1">
      <c r="D199" s="126"/>
    </row>
    <row r="200" spans="4:4" ht="14.25" customHeight="1">
      <c r="D200" s="126"/>
    </row>
    <row r="201" spans="4:4" ht="14.25" customHeight="1">
      <c r="D201" s="126"/>
    </row>
    <row r="202" spans="4:4" ht="14.25" customHeight="1">
      <c r="D202" s="126"/>
    </row>
    <row r="203" spans="4:4" ht="14.25" customHeight="1">
      <c r="D203" s="126"/>
    </row>
    <row r="204" spans="4:4" ht="14.25" customHeight="1">
      <c r="D204" s="126"/>
    </row>
    <row r="205" spans="4:4" ht="14.25" customHeight="1">
      <c r="D205" s="126"/>
    </row>
    <row r="206" spans="4:4" ht="14.25" customHeight="1">
      <c r="D206" s="126"/>
    </row>
    <row r="207" spans="4:4" ht="14.25" customHeight="1">
      <c r="D207" s="126"/>
    </row>
    <row r="208" spans="4:4" ht="14.25" customHeight="1">
      <c r="D208" s="126"/>
    </row>
    <row r="209" spans="4:4" ht="14.25" customHeight="1">
      <c r="D209" s="126"/>
    </row>
    <row r="210" spans="4:4" ht="14.25" customHeight="1">
      <c r="D210" s="126"/>
    </row>
    <row r="211" spans="4:4" ht="14.25" customHeight="1">
      <c r="D211" s="126"/>
    </row>
    <row r="212" spans="4:4" ht="14.25" customHeight="1">
      <c r="D212" s="126"/>
    </row>
    <row r="213" spans="4:4" ht="14.25" customHeight="1">
      <c r="D213" s="126"/>
    </row>
    <row r="214" spans="4:4" ht="14.25" customHeight="1">
      <c r="D214" s="126"/>
    </row>
    <row r="215" spans="4:4" ht="14.25" customHeight="1">
      <c r="D215" s="126"/>
    </row>
    <row r="216" spans="4:4" ht="14.25" customHeight="1">
      <c r="D216" s="126"/>
    </row>
    <row r="217" spans="4:4" ht="14.25" customHeight="1">
      <c r="D217" s="126"/>
    </row>
    <row r="218" spans="4:4" ht="14.25" customHeight="1">
      <c r="D218" s="126"/>
    </row>
    <row r="219" spans="4:4" ht="14.25" customHeight="1">
      <c r="D219" s="126"/>
    </row>
    <row r="220" spans="4:4" ht="14.25" customHeight="1">
      <c r="D220" s="126"/>
    </row>
    <row r="221" spans="4:4" ht="14.25" customHeight="1">
      <c r="D221" s="126"/>
    </row>
    <row r="222" spans="4:4" ht="14.25" customHeight="1">
      <c r="D222" s="126"/>
    </row>
    <row r="223" spans="4:4" ht="14.25" customHeight="1">
      <c r="D223" s="126"/>
    </row>
    <row r="224" spans="4:4" ht="14.25" customHeight="1">
      <c r="D224" s="126"/>
    </row>
    <row r="225" spans="4:4" ht="14.25" customHeight="1">
      <c r="D225" s="126"/>
    </row>
    <row r="226" spans="4:4" ht="14.25" customHeight="1">
      <c r="D226" s="126"/>
    </row>
    <row r="227" spans="4:4" ht="14.25" customHeight="1">
      <c r="D227" s="126"/>
    </row>
    <row r="228" spans="4:4" ht="14.25" customHeight="1">
      <c r="D228" s="126"/>
    </row>
    <row r="229" spans="4:4" ht="14.25" customHeight="1">
      <c r="D229" s="126"/>
    </row>
    <row r="230" spans="4:4" ht="14.25" customHeight="1">
      <c r="D230" s="126"/>
    </row>
    <row r="231" spans="4:4" ht="14.25" customHeight="1">
      <c r="D231" s="126"/>
    </row>
    <row r="232" spans="4:4" ht="14.25" customHeight="1">
      <c r="D232" s="126"/>
    </row>
    <row r="233" spans="4:4" ht="14.25" customHeight="1">
      <c r="D233" s="126"/>
    </row>
    <row r="234" spans="4:4" ht="14.25" customHeight="1">
      <c r="D234" s="126"/>
    </row>
    <row r="235" spans="4:4" ht="14.25" customHeight="1">
      <c r="D235" s="126"/>
    </row>
    <row r="236" spans="4:4" ht="14.25" customHeight="1">
      <c r="D236" s="126"/>
    </row>
    <row r="237" spans="4:4" ht="14.25" customHeight="1">
      <c r="D237" s="126"/>
    </row>
    <row r="238" spans="4:4" ht="14.25" customHeight="1">
      <c r="D238" s="126"/>
    </row>
    <row r="239" spans="4:4" ht="14.25" customHeight="1">
      <c r="D239" s="126"/>
    </row>
    <row r="240" spans="4:4" ht="14.25" customHeight="1">
      <c r="D240" s="126"/>
    </row>
    <row r="241" spans="4:4" ht="14.25" customHeight="1">
      <c r="D241" s="126"/>
    </row>
    <row r="242" spans="4:4" ht="14.25" customHeight="1">
      <c r="D242" s="126"/>
    </row>
    <row r="243" spans="4:4" ht="14.25" customHeight="1">
      <c r="D243" s="126"/>
    </row>
    <row r="244" spans="4:4" ht="14.25" customHeight="1">
      <c r="D244" s="126"/>
    </row>
    <row r="245" spans="4:4" ht="14.25" customHeight="1">
      <c r="D245" s="126"/>
    </row>
    <row r="246" spans="4:4" ht="14.25" customHeight="1">
      <c r="D246" s="126"/>
    </row>
    <row r="247" spans="4:4" ht="14.25" customHeight="1">
      <c r="D247" s="126"/>
    </row>
    <row r="248" spans="4:4" ht="14.25" customHeight="1">
      <c r="D248" s="126"/>
    </row>
    <row r="249" spans="4:4" ht="14.25" customHeight="1">
      <c r="D249" s="126"/>
    </row>
    <row r="250" spans="4:4" ht="14.25" customHeight="1">
      <c r="D250" s="126"/>
    </row>
    <row r="251" spans="4:4" ht="14.25" customHeight="1">
      <c r="D251" s="126"/>
    </row>
    <row r="252" spans="4:4" ht="14.25" customHeight="1">
      <c r="D252" s="126"/>
    </row>
    <row r="253" spans="4:4" ht="14.25" customHeight="1">
      <c r="D253" s="126"/>
    </row>
    <row r="254" spans="4:4" ht="14.25" customHeight="1">
      <c r="D254" s="126"/>
    </row>
    <row r="255" spans="4:4" ht="14.25" customHeight="1">
      <c r="D255" s="126"/>
    </row>
    <row r="256" spans="4:4" ht="14.25" customHeight="1">
      <c r="D256" s="126"/>
    </row>
    <row r="257" spans="4:4" ht="14.25" customHeight="1">
      <c r="D257" s="126"/>
    </row>
    <row r="258" spans="4:4" ht="14.25" customHeight="1">
      <c r="D258" s="126"/>
    </row>
    <row r="259" spans="4:4" ht="14.25" customHeight="1">
      <c r="D259" s="126"/>
    </row>
    <row r="260" spans="4:4" ht="14.25" customHeight="1">
      <c r="D260" s="126"/>
    </row>
    <row r="261" spans="4:4" ht="14.25" customHeight="1">
      <c r="D261" s="126"/>
    </row>
    <row r="262" spans="4:4" ht="14.25" customHeight="1">
      <c r="D262" s="126"/>
    </row>
    <row r="263" spans="4:4" ht="14.25" customHeight="1">
      <c r="D263" s="126"/>
    </row>
    <row r="264" spans="4:4" ht="14.25" customHeight="1">
      <c r="D264" s="126"/>
    </row>
    <row r="265" spans="4:4" ht="14.25" customHeight="1">
      <c r="D265" s="126"/>
    </row>
    <row r="266" spans="4:4" ht="14.25" customHeight="1">
      <c r="D266" s="126"/>
    </row>
    <row r="267" spans="4:4" ht="14.25" customHeight="1">
      <c r="D267" s="126"/>
    </row>
    <row r="268" spans="4:4" ht="14.25" customHeight="1">
      <c r="D268" s="126"/>
    </row>
    <row r="269" spans="4:4" ht="14.25" customHeight="1">
      <c r="D269" s="126"/>
    </row>
    <row r="270" spans="4:4" ht="14.25" customHeight="1">
      <c r="D270" s="126"/>
    </row>
    <row r="271" spans="4:4" ht="14.25" customHeight="1">
      <c r="D271" s="126"/>
    </row>
    <row r="272" spans="4:4" ht="14.25" customHeight="1">
      <c r="D272" s="126"/>
    </row>
    <row r="273" spans="4:4" ht="14.25" customHeight="1">
      <c r="D273" s="126"/>
    </row>
    <row r="274" spans="4:4" ht="14.25" customHeight="1">
      <c r="D274" s="126"/>
    </row>
    <row r="275" spans="4:4" ht="14.25" customHeight="1">
      <c r="D275" s="126"/>
    </row>
    <row r="276" spans="4:4" ht="14.25" customHeight="1">
      <c r="D276" s="126"/>
    </row>
    <row r="277" spans="4:4" ht="14.25" customHeight="1">
      <c r="D277" s="126"/>
    </row>
    <row r="278" spans="4:4" ht="14.25" customHeight="1">
      <c r="D278" s="126"/>
    </row>
    <row r="279" spans="4:4" ht="14.25" customHeight="1">
      <c r="D279" s="126"/>
    </row>
    <row r="280" spans="4:4" ht="14.25" customHeight="1">
      <c r="D280" s="126"/>
    </row>
    <row r="281" spans="4:4" ht="14.25" customHeight="1">
      <c r="D281" s="126"/>
    </row>
    <row r="282" spans="4:4" ht="14.25" customHeight="1">
      <c r="D282" s="126"/>
    </row>
    <row r="283" spans="4:4" ht="14.25" customHeight="1">
      <c r="D283" s="126"/>
    </row>
    <row r="284" spans="4:4" ht="14.25" customHeight="1">
      <c r="D284" s="126"/>
    </row>
    <row r="285" spans="4:4" ht="14.25" customHeight="1">
      <c r="D285" s="126"/>
    </row>
    <row r="286" spans="4:4" ht="14.25" customHeight="1">
      <c r="D286" s="126"/>
    </row>
    <row r="287" spans="4:4" ht="14.25" customHeight="1">
      <c r="D287" s="126"/>
    </row>
    <row r="288" spans="4:4" ht="14.25" customHeight="1">
      <c r="D288" s="126"/>
    </row>
    <row r="289" spans="4:4" ht="14.25" customHeight="1">
      <c r="D289" s="126"/>
    </row>
    <row r="290" spans="4:4" ht="14.25" customHeight="1">
      <c r="D290" s="126"/>
    </row>
    <row r="291" spans="4:4" ht="14.25" customHeight="1">
      <c r="D291" s="126"/>
    </row>
    <row r="292" spans="4:4" ht="14.25" customHeight="1">
      <c r="D292" s="126"/>
    </row>
    <row r="293" spans="4:4" ht="14.25" customHeight="1">
      <c r="D293" s="126"/>
    </row>
    <row r="294" spans="4:4" ht="14.25" customHeight="1">
      <c r="D294" s="126"/>
    </row>
    <row r="295" spans="4:4" ht="14.25" customHeight="1">
      <c r="D295" s="126"/>
    </row>
    <row r="296" spans="4:4" ht="14.25" customHeight="1">
      <c r="D296" s="126"/>
    </row>
    <row r="297" spans="4:4" ht="14.25" customHeight="1">
      <c r="D297" s="126"/>
    </row>
    <row r="298" spans="4:4" ht="14.25" customHeight="1">
      <c r="D298" s="126"/>
    </row>
    <row r="299" spans="4:4" ht="14.25" customHeight="1">
      <c r="D299" s="126"/>
    </row>
    <row r="300" spans="4:4" ht="14.25" customHeight="1">
      <c r="D300" s="126"/>
    </row>
    <row r="301" spans="4:4" ht="14.25" customHeight="1">
      <c r="D301" s="126"/>
    </row>
    <row r="302" spans="4:4" ht="14.25" customHeight="1">
      <c r="D302" s="126"/>
    </row>
    <row r="303" spans="4:4" ht="14.25" customHeight="1">
      <c r="D303" s="126"/>
    </row>
    <row r="304" spans="4:4" ht="14.25" customHeight="1">
      <c r="D304" s="126"/>
    </row>
    <row r="305" spans="4:4" ht="14.25" customHeight="1">
      <c r="D305" s="126"/>
    </row>
    <row r="306" spans="4:4" ht="14.25" customHeight="1">
      <c r="D306" s="126"/>
    </row>
    <row r="307" spans="4:4" ht="14.25" customHeight="1">
      <c r="D307" s="126"/>
    </row>
    <row r="308" spans="4:4" ht="14.25" customHeight="1">
      <c r="D308" s="126"/>
    </row>
    <row r="309" spans="4:4" ht="14.25" customHeight="1">
      <c r="D309" s="126"/>
    </row>
    <row r="310" spans="4:4" ht="14.25" customHeight="1">
      <c r="D310" s="126"/>
    </row>
    <row r="311" spans="4:4" ht="14.25" customHeight="1">
      <c r="D311" s="126"/>
    </row>
    <row r="312" spans="4:4" ht="14.25" customHeight="1">
      <c r="D312" s="126"/>
    </row>
    <row r="313" spans="4:4" ht="14.25" customHeight="1">
      <c r="D313" s="126"/>
    </row>
    <row r="314" spans="4:4" ht="14.25" customHeight="1">
      <c r="D314" s="126"/>
    </row>
    <row r="315" spans="4:4" ht="14.25" customHeight="1">
      <c r="D315" s="126"/>
    </row>
    <row r="316" spans="4:4" ht="14.25" customHeight="1">
      <c r="D316" s="126"/>
    </row>
    <row r="317" spans="4:4" ht="14.25" customHeight="1">
      <c r="D317" s="126"/>
    </row>
    <row r="318" spans="4:4" ht="14.25" customHeight="1">
      <c r="D318" s="126"/>
    </row>
    <row r="319" spans="4:4" ht="14.25" customHeight="1">
      <c r="D319" s="126"/>
    </row>
    <row r="320" spans="4:4" ht="14.25" customHeight="1">
      <c r="D320" s="126"/>
    </row>
    <row r="321" spans="4:4" ht="14.25" customHeight="1">
      <c r="D321" s="126"/>
    </row>
    <row r="322" spans="4:4" ht="14.25" customHeight="1">
      <c r="D322" s="126"/>
    </row>
    <row r="323" spans="4:4" ht="14.25" customHeight="1">
      <c r="D323" s="126"/>
    </row>
    <row r="324" spans="4:4" ht="14.25" customHeight="1">
      <c r="D324" s="126"/>
    </row>
    <row r="325" spans="4:4" ht="14.25" customHeight="1">
      <c r="D325" s="126"/>
    </row>
    <row r="326" spans="4:4" ht="14.25" customHeight="1">
      <c r="D326" s="126"/>
    </row>
    <row r="327" spans="4:4" ht="14.25" customHeight="1">
      <c r="D327" s="126"/>
    </row>
    <row r="328" spans="4:4" ht="14.25" customHeight="1">
      <c r="D328" s="126"/>
    </row>
    <row r="329" spans="4:4" ht="14.25" customHeight="1">
      <c r="D329" s="126"/>
    </row>
    <row r="330" spans="4:4" ht="14.25" customHeight="1">
      <c r="D330" s="126"/>
    </row>
    <row r="331" spans="4:4" ht="14.25" customHeight="1">
      <c r="D331" s="126"/>
    </row>
    <row r="332" spans="4:4" ht="14.25" customHeight="1">
      <c r="D332" s="126"/>
    </row>
    <row r="333" spans="4:4" ht="14.25" customHeight="1">
      <c r="D333" s="126"/>
    </row>
    <row r="334" spans="4:4" ht="14.25" customHeight="1">
      <c r="D334" s="126"/>
    </row>
    <row r="335" spans="4:4" ht="14.25" customHeight="1">
      <c r="D335" s="126"/>
    </row>
    <row r="336" spans="4:4" ht="14.25" customHeight="1">
      <c r="D336" s="126"/>
    </row>
    <row r="337" spans="4:4" ht="14.25" customHeight="1">
      <c r="D337" s="126"/>
    </row>
    <row r="338" spans="4:4" ht="14.25" customHeight="1">
      <c r="D338" s="126"/>
    </row>
    <row r="339" spans="4:4" ht="14.25" customHeight="1">
      <c r="D339" s="126"/>
    </row>
    <row r="340" spans="4:4" ht="14.25" customHeight="1">
      <c r="D340" s="126"/>
    </row>
    <row r="341" spans="4:4" ht="14.25" customHeight="1">
      <c r="D341" s="126"/>
    </row>
    <row r="342" spans="4:4" ht="14.25" customHeight="1">
      <c r="D342" s="126"/>
    </row>
    <row r="343" spans="4:4" ht="14.25" customHeight="1">
      <c r="D343" s="126"/>
    </row>
    <row r="344" spans="4:4" ht="14.25" customHeight="1">
      <c r="D344" s="126"/>
    </row>
    <row r="345" spans="4:4" ht="14.25" customHeight="1">
      <c r="D345" s="126"/>
    </row>
    <row r="346" spans="4:4" ht="14.25" customHeight="1">
      <c r="D346" s="126"/>
    </row>
    <row r="347" spans="4:4" ht="14.25" customHeight="1">
      <c r="D347" s="126"/>
    </row>
    <row r="348" spans="4:4" ht="14.25" customHeight="1">
      <c r="D348" s="126"/>
    </row>
    <row r="349" spans="4:4" ht="14.25" customHeight="1">
      <c r="D349" s="126"/>
    </row>
    <row r="350" spans="4:4" ht="14.25" customHeight="1">
      <c r="D350" s="126"/>
    </row>
    <row r="351" spans="4:4" ht="14.25" customHeight="1">
      <c r="D351" s="126"/>
    </row>
    <row r="352" spans="4:4" ht="14.25" customHeight="1">
      <c r="D352" s="126"/>
    </row>
    <row r="353" spans="4:4" ht="14.25" customHeight="1">
      <c r="D353" s="126"/>
    </row>
    <row r="354" spans="4:4" ht="14.25" customHeight="1">
      <c r="D354" s="126"/>
    </row>
    <row r="355" spans="4:4" ht="14.25" customHeight="1">
      <c r="D355" s="126"/>
    </row>
    <row r="356" spans="4:4" ht="14.25" customHeight="1">
      <c r="D356" s="126"/>
    </row>
    <row r="357" spans="4:4" ht="14.25" customHeight="1">
      <c r="D357" s="126"/>
    </row>
    <row r="358" spans="4:4" ht="14.25" customHeight="1">
      <c r="D358" s="126"/>
    </row>
    <row r="359" spans="4:4" ht="14.25" customHeight="1">
      <c r="D359" s="126"/>
    </row>
    <row r="360" spans="4:4" ht="14.25" customHeight="1">
      <c r="D360" s="126"/>
    </row>
    <row r="361" spans="4:4" ht="14.25" customHeight="1">
      <c r="D361" s="126"/>
    </row>
    <row r="362" spans="4:4" ht="14.25" customHeight="1">
      <c r="D362" s="126"/>
    </row>
    <row r="363" spans="4:4" ht="14.25" customHeight="1">
      <c r="D363" s="126"/>
    </row>
    <row r="364" spans="4:4" ht="14.25" customHeight="1">
      <c r="D364" s="126"/>
    </row>
    <row r="365" spans="4:4" ht="14.25" customHeight="1">
      <c r="D365" s="126"/>
    </row>
    <row r="366" spans="4:4" ht="14.25" customHeight="1">
      <c r="D366" s="126"/>
    </row>
    <row r="367" spans="4:4" ht="14.25" customHeight="1">
      <c r="D367" s="126"/>
    </row>
    <row r="368" spans="4:4" ht="14.25" customHeight="1">
      <c r="D368" s="126"/>
    </row>
    <row r="369" spans="4:4" ht="14.25" customHeight="1">
      <c r="D369" s="126"/>
    </row>
    <row r="370" spans="4:4" ht="14.25" customHeight="1">
      <c r="D370" s="126"/>
    </row>
    <row r="371" spans="4:4" ht="14.25" customHeight="1">
      <c r="D371" s="126"/>
    </row>
    <row r="372" spans="4:4" ht="14.25" customHeight="1">
      <c r="D372" s="126"/>
    </row>
    <row r="373" spans="4:4" ht="14.25" customHeight="1">
      <c r="D373" s="126"/>
    </row>
    <row r="374" spans="4:4" ht="14.25" customHeight="1">
      <c r="D374" s="126"/>
    </row>
    <row r="375" spans="4:4" ht="14.25" customHeight="1">
      <c r="D375" s="126"/>
    </row>
    <row r="376" spans="4:4" ht="14.25" customHeight="1">
      <c r="D376" s="126"/>
    </row>
    <row r="377" spans="4:4" ht="14.25" customHeight="1">
      <c r="D377" s="126"/>
    </row>
    <row r="378" spans="4:4" ht="14.25" customHeight="1">
      <c r="D378" s="126"/>
    </row>
    <row r="379" spans="4:4" ht="14.25" customHeight="1">
      <c r="D379" s="126"/>
    </row>
    <row r="380" spans="4:4" ht="14.25" customHeight="1">
      <c r="D380" s="126"/>
    </row>
    <row r="381" spans="4:4" ht="14.25" customHeight="1">
      <c r="D381" s="126"/>
    </row>
    <row r="382" spans="4:4" ht="14.25" customHeight="1">
      <c r="D382" s="126"/>
    </row>
    <row r="383" spans="4:4" ht="14.25" customHeight="1">
      <c r="D383" s="126"/>
    </row>
    <row r="384" spans="4:4" ht="14.25" customHeight="1">
      <c r="D384" s="126"/>
    </row>
    <row r="385" spans="4:4" ht="14.25" customHeight="1">
      <c r="D385" s="126"/>
    </row>
    <row r="386" spans="4:4" ht="14.25" customHeight="1">
      <c r="D386" s="126"/>
    </row>
    <row r="387" spans="4:4" ht="14.25" customHeight="1">
      <c r="D387" s="126"/>
    </row>
    <row r="388" spans="4:4" ht="14.25" customHeight="1">
      <c r="D388" s="126"/>
    </row>
    <row r="389" spans="4:4" ht="14.25" customHeight="1">
      <c r="D389" s="126"/>
    </row>
    <row r="390" spans="4:4" ht="15.75" customHeight="1"/>
    <row r="391" spans="4:4" ht="15.75" customHeight="1"/>
    <row r="392" spans="4:4" ht="15.75" customHeight="1"/>
    <row r="393" spans="4:4" ht="15.75" customHeight="1"/>
    <row r="394" spans="4:4" ht="15.75" customHeight="1"/>
    <row r="395" spans="4:4" ht="15.75" customHeight="1"/>
    <row r="396" spans="4:4" ht="15.75" customHeight="1"/>
    <row r="397" spans="4:4" ht="15.75" customHeight="1"/>
    <row r="398" spans="4:4" ht="15.75" customHeight="1"/>
    <row r="399" spans="4:4" ht="15.75" customHeight="1"/>
    <row r="400" spans="4:4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H189" xr:uid="{00000000-0009-0000-0000-000006000000}">
    <sortState xmlns:xlrd2="http://schemas.microsoft.com/office/spreadsheetml/2017/richdata2" ref="A3:H189">
      <sortCondition ref="C3:C189"/>
      <sortCondition ref="H3:H189"/>
      <sortCondition ref="D3:D189"/>
      <sortCondition ref="A3:A189"/>
    </sortState>
  </autoFilter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4E291"/>
  </sheetPr>
  <dimension ref="A1:AG1000"/>
  <sheetViews>
    <sheetView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D8" sqref="D8"/>
    </sheetView>
  </sheetViews>
  <sheetFormatPr defaultColWidth="12.6640625" defaultRowHeight="15" customHeight="1"/>
  <cols>
    <col min="1" max="1" width="1.88671875" customWidth="1"/>
    <col min="2" max="2" width="8.77734375" customWidth="1"/>
    <col min="3" max="4" width="10.6640625" customWidth="1"/>
    <col min="5" max="5" width="12.21875" customWidth="1"/>
    <col min="6" max="10" width="8.77734375" customWidth="1"/>
    <col min="11" max="11" width="8.109375" customWidth="1"/>
    <col min="12" max="13" width="8.77734375" customWidth="1"/>
    <col min="14" max="14" width="12.21875" customWidth="1"/>
    <col min="15" max="22" width="8.77734375" customWidth="1"/>
    <col min="23" max="23" width="12.21875" customWidth="1"/>
    <col min="24" max="33" width="8.77734375" customWidth="1"/>
  </cols>
  <sheetData>
    <row r="1" spans="1:33" ht="14.25" customHeight="1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</row>
    <row r="2" spans="1:33" ht="14.25" customHeight="1">
      <c r="A2" s="72"/>
      <c r="B2" s="266" t="s">
        <v>493</v>
      </c>
      <c r="C2" s="267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</row>
    <row r="3" spans="1:33" ht="14.25" customHeight="1">
      <c r="A3" s="72"/>
      <c r="B3" s="73"/>
      <c r="C3" s="74" t="s">
        <v>494</v>
      </c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</row>
    <row r="4" spans="1:33" ht="14.25" customHeight="1">
      <c r="A4" s="72"/>
      <c r="B4" s="75"/>
      <c r="C4" s="74" t="s">
        <v>495</v>
      </c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</row>
    <row r="5" spans="1:33" ht="14.25" customHeight="1">
      <c r="A5" s="72"/>
      <c r="B5" s="76"/>
      <c r="C5" s="77" t="s">
        <v>496</v>
      </c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268" t="s">
        <v>497</v>
      </c>
      <c r="P5" s="269"/>
      <c r="Q5" s="269"/>
      <c r="R5" s="269"/>
      <c r="S5" s="269"/>
      <c r="T5" s="269"/>
      <c r="U5" s="270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</row>
    <row r="6" spans="1:33" ht="14.25" customHeight="1">
      <c r="A6" s="72"/>
      <c r="B6" s="78" t="s">
        <v>35</v>
      </c>
      <c r="C6" s="74" t="s">
        <v>498</v>
      </c>
      <c r="D6" s="72"/>
      <c r="E6" s="72"/>
      <c r="F6" s="79"/>
      <c r="G6" s="80"/>
      <c r="H6" s="80"/>
      <c r="I6" s="80"/>
      <c r="J6" s="80"/>
      <c r="K6" s="80"/>
      <c r="L6" s="80"/>
      <c r="M6" s="80"/>
      <c r="N6" s="72"/>
      <c r="O6" s="80"/>
      <c r="P6" s="80"/>
      <c r="Q6" s="80"/>
      <c r="R6" s="80"/>
      <c r="S6" s="80"/>
      <c r="T6" s="80"/>
      <c r="U6" s="80"/>
      <c r="V6" s="80"/>
      <c r="W6" s="72"/>
      <c r="X6" s="80"/>
      <c r="Y6" s="80"/>
      <c r="Z6" s="80"/>
      <c r="AA6" s="80"/>
      <c r="AB6" s="80"/>
      <c r="AC6" s="80"/>
      <c r="AD6" s="80"/>
      <c r="AE6" s="72"/>
      <c r="AF6" s="72"/>
      <c r="AG6" s="72"/>
    </row>
    <row r="7" spans="1:33" ht="14.25" customHeight="1">
      <c r="A7" s="72"/>
      <c r="B7" s="81"/>
      <c r="C7" s="82" t="s">
        <v>499</v>
      </c>
      <c r="D7" s="72"/>
      <c r="E7" s="72"/>
      <c r="F7" s="271" t="s">
        <v>500</v>
      </c>
      <c r="G7" s="272"/>
      <c r="H7" s="272"/>
      <c r="I7" s="272"/>
      <c r="J7" s="272"/>
      <c r="K7" s="272"/>
      <c r="L7" s="267"/>
      <c r="M7" s="83"/>
      <c r="N7" s="72"/>
      <c r="O7" s="271" t="s">
        <v>501</v>
      </c>
      <c r="P7" s="272"/>
      <c r="Q7" s="272"/>
      <c r="R7" s="272"/>
      <c r="S7" s="272"/>
      <c r="T7" s="272"/>
      <c r="U7" s="267"/>
      <c r="V7" s="80"/>
      <c r="W7" s="72"/>
      <c r="X7" s="271" t="s">
        <v>502</v>
      </c>
      <c r="Y7" s="272"/>
      <c r="Z7" s="272"/>
      <c r="AA7" s="272"/>
      <c r="AB7" s="272"/>
      <c r="AC7" s="272"/>
      <c r="AD7" s="267"/>
      <c r="AE7" s="72"/>
      <c r="AF7" s="72"/>
      <c r="AG7" s="72"/>
    </row>
    <row r="8" spans="1:33" ht="14.25" customHeight="1">
      <c r="A8" s="72"/>
      <c r="B8" s="72"/>
      <c r="C8" s="72"/>
      <c r="D8" s="72"/>
      <c r="E8" s="84" t="s">
        <v>503</v>
      </c>
      <c r="F8" s="85" t="s">
        <v>504</v>
      </c>
      <c r="G8" s="86" t="s">
        <v>505</v>
      </c>
      <c r="H8" s="86" t="s">
        <v>506</v>
      </c>
      <c r="I8" s="86" t="s">
        <v>507</v>
      </c>
      <c r="J8" s="86" t="s">
        <v>508</v>
      </c>
      <c r="K8" s="87" t="s">
        <v>509</v>
      </c>
      <c r="L8" s="88" t="s">
        <v>510</v>
      </c>
      <c r="M8" s="89"/>
      <c r="N8" s="84" t="s">
        <v>503</v>
      </c>
      <c r="O8" s="85" t="s">
        <v>504</v>
      </c>
      <c r="P8" s="86" t="s">
        <v>505</v>
      </c>
      <c r="Q8" s="86" t="s">
        <v>506</v>
      </c>
      <c r="R8" s="86" t="s">
        <v>507</v>
      </c>
      <c r="S8" s="86" t="s">
        <v>508</v>
      </c>
      <c r="T8" s="87" t="s">
        <v>509</v>
      </c>
      <c r="U8" s="88" t="s">
        <v>510</v>
      </c>
      <c r="V8" s="79"/>
      <c r="W8" s="84" t="s">
        <v>503</v>
      </c>
      <c r="X8" s="85" t="s">
        <v>504</v>
      </c>
      <c r="Y8" s="86" t="s">
        <v>505</v>
      </c>
      <c r="Z8" s="86" t="s">
        <v>506</v>
      </c>
      <c r="AA8" s="86" t="s">
        <v>507</v>
      </c>
      <c r="AB8" s="86" t="s">
        <v>508</v>
      </c>
      <c r="AC8" s="87" t="s">
        <v>509</v>
      </c>
      <c r="AD8" s="88" t="s">
        <v>510</v>
      </c>
      <c r="AE8" s="72"/>
      <c r="AF8" s="72"/>
      <c r="AG8" s="90"/>
    </row>
    <row r="9" spans="1:33" ht="14.25" customHeight="1">
      <c r="A9" s="72"/>
      <c r="D9" s="84"/>
      <c r="E9" s="72"/>
      <c r="F9" s="91">
        <v>1</v>
      </c>
      <c r="G9" s="86">
        <f t="shared" ref="G9:L9" si="0">F9+1</f>
        <v>2</v>
      </c>
      <c r="H9" s="86">
        <f t="shared" si="0"/>
        <v>3</v>
      </c>
      <c r="I9" s="86">
        <f t="shared" si="0"/>
        <v>4</v>
      </c>
      <c r="J9" s="86">
        <f t="shared" si="0"/>
        <v>5</v>
      </c>
      <c r="K9" s="86">
        <f t="shared" si="0"/>
        <v>6</v>
      </c>
      <c r="L9" s="86">
        <f t="shared" si="0"/>
        <v>7</v>
      </c>
      <c r="M9" s="89"/>
      <c r="N9" s="72"/>
      <c r="O9" s="86"/>
      <c r="P9" s="86"/>
      <c r="Q9" s="86">
        <f t="shared" ref="Q9:U9" si="1">P9+1</f>
        <v>1</v>
      </c>
      <c r="R9" s="86">
        <f t="shared" si="1"/>
        <v>2</v>
      </c>
      <c r="S9" s="86">
        <f t="shared" si="1"/>
        <v>3</v>
      </c>
      <c r="T9" s="86">
        <f t="shared" si="1"/>
        <v>4</v>
      </c>
      <c r="U9" s="86">
        <f t="shared" si="1"/>
        <v>5</v>
      </c>
      <c r="V9" s="79"/>
      <c r="W9" s="72"/>
      <c r="X9" s="86"/>
      <c r="Y9" s="86"/>
      <c r="Z9" s="86"/>
      <c r="AA9" s="86"/>
      <c r="AB9" s="86"/>
      <c r="AC9" s="86">
        <f t="shared" ref="AC9:AD9" si="2">AB9+1</f>
        <v>1</v>
      </c>
      <c r="AD9" s="86">
        <f t="shared" si="2"/>
        <v>2</v>
      </c>
      <c r="AE9" s="72"/>
      <c r="AF9" s="72"/>
      <c r="AG9" s="90"/>
    </row>
    <row r="10" spans="1:33" ht="14.25" customHeight="1">
      <c r="A10" s="72"/>
      <c r="D10" s="72"/>
      <c r="E10" s="92" t="s">
        <v>397</v>
      </c>
      <c r="F10" s="93"/>
      <c r="G10" s="94"/>
      <c r="H10" s="94"/>
      <c r="I10" s="94"/>
      <c r="J10" s="94"/>
      <c r="K10" s="94"/>
      <c r="L10" s="95"/>
      <c r="M10" s="83"/>
      <c r="N10" s="92" t="s">
        <v>397</v>
      </c>
      <c r="O10" s="96"/>
      <c r="P10" s="96"/>
      <c r="Q10" s="97"/>
      <c r="R10" s="97"/>
      <c r="S10" s="94"/>
      <c r="T10" s="94"/>
      <c r="U10" s="95"/>
      <c r="V10" s="80"/>
      <c r="W10" s="92" t="s">
        <v>397</v>
      </c>
      <c r="X10" s="96"/>
      <c r="Y10" s="96"/>
      <c r="Z10" s="96"/>
      <c r="AA10" s="96"/>
      <c r="AB10" s="96"/>
      <c r="AC10" s="94"/>
      <c r="AD10" s="95"/>
      <c r="AE10" s="72"/>
      <c r="AF10" s="98"/>
      <c r="AG10" s="90"/>
    </row>
    <row r="11" spans="1:33" ht="14.25" customHeight="1">
      <c r="A11" s="72"/>
      <c r="D11" s="72"/>
      <c r="E11" s="99" t="s">
        <v>82</v>
      </c>
      <c r="F11" s="100"/>
      <c r="G11" s="101"/>
      <c r="H11" s="101"/>
      <c r="I11" s="101"/>
      <c r="J11" s="101"/>
      <c r="K11" s="101"/>
      <c r="L11" s="102"/>
      <c r="M11" s="83"/>
      <c r="N11" s="99" t="s">
        <v>82</v>
      </c>
      <c r="O11" s="103"/>
      <c r="P11" s="103"/>
      <c r="Q11" s="114"/>
      <c r="R11" s="101"/>
      <c r="S11" s="101"/>
      <c r="T11" s="101"/>
      <c r="U11" s="102"/>
      <c r="V11" s="80"/>
      <c r="W11" s="99" t="s">
        <v>82</v>
      </c>
      <c r="X11" s="103"/>
      <c r="Y11" s="103"/>
      <c r="Z11" s="103"/>
      <c r="AA11" s="103"/>
      <c r="AB11" s="103"/>
      <c r="AC11" s="101"/>
      <c r="AD11" s="102"/>
      <c r="AE11" s="72"/>
      <c r="AF11" s="72"/>
      <c r="AG11" s="72"/>
    </row>
    <row r="12" spans="1:33" ht="14.25" customHeight="1">
      <c r="A12" s="72"/>
      <c r="D12" s="72"/>
      <c r="E12" s="99" t="s">
        <v>92</v>
      </c>
      <c r="F12" s="100"/>
      <c r="G12" s="101"/>
      <c r="H12" s="101"/>
      <c r="I12" s="101"/>
      <c r="J12" s="101"/>
      <c r="K12" s="101"/>
      <c r="L12" s="102"/>
      <c r="M12" s="83"/>
      <c r="N12" s="99" t="s">
        <v>92</v>
      </c>
      <c r="O12" s="103"/>
      <c r="P12" s="103"/>
      <c r="Q12" s="114"/>
      <c r="R12" s="101"/>
      <c r="S12" s="101"/>
      <c r="T12" s="101"/>
      <c r="U12" s="102"/>
      <c r="V12" s="80"/>
      <c r="W12" s="99" t="s">
        <v>92</v>
      </c>
      <c r="X12" s="103"/>
      <c r="Y12" s="103"/>
      <c r="Z12" s="103"/>
      <c r="AA12" s="103"/>
      <c r="AB12" s="103"/>
      <c r="AC12" s="101"/>
      <c r="AD12" s="102"/>
      <c r="AE12" s="72"/>
      <c r="AF12" s="72"/>
      <c r="AG12" s="72"/>
    </row>
    <row r="13" spans="1:33" ht="14.25" customHeight="1">
      <c r="A13" s="72"/>
      <c r="D13" s="72"/>
      <c r="E13" s="105" t="s">
        <v>98</v>
      </c>
      <c r="F13" s="100"/>
      <c r="G13" s="101"/>
      <c r="H13" s="101"/>
      <c r="I13" s="101"/>
      <c r="J13" s="101"/>
      <c r="K13" s="101"/>
      <c r="L13" s="102"/>
      <c r="M13" s="83"/>
      <c r="N13" s="105" t="s">
        <v>98</v>
      </c>
      <c r="O13" s="103"/>
      <c r="P13" s="103"/>
      <c r="Q13" s="104"/>
      <c r="R13" s="101"/>
      <c r="S13" s="101"/>
      <c r="T13" s="101"/>
      <c r="U13" s="102"/>
      <c r="V13" s="80"/>
      <c r="W13" s="105" t="s">
        <v>98</v>
      </c>
      <c r="X13" s="103"/>
      <c r="Y13" s="103"/>
      <c r="Z13" s="103"/>
      <c r="AA13" s="103"/>
      <c r="AB13" s="103"/>
      <c r="AC13" s="101"/>
      <c r="AD13" s="102"/>
      <c r="AE13" s="72"/>
      <c r="AF13" s="72"/>
      <c r="AG13" s="72"/>
    </row>
    <row r="14" spans="1:33" ht="14.25" customHeight="1">
      <c r="A14" s="72"/>
      <c r="D14" s="72"/>
      <c r="E14" s="105" t="s">
        <v>104</v>
      </c>
      <c r="F14" s="100"/>
      <c r="G14" s="101"/>
      <c r="H14" s="101"/>
      <c r="I14" s="101"/>
      <c r="J14" s="101"/>
      <c r="K14" s="101"/>
      <c r="L14" s="102"/>
      <c r="M14" s="83"/>
      <c r="N14" s="105" t="s">
        <v>104</v>
      </c>
      <c r="O14" s="103"/>
      <c r="P14" s="103"/>
      <c r="Q14" s="104"/>
      <c r="R14" s="101"/>
      <c r="S14" s="101"/>
      <c r="T14" s="101"/>
      <c r="U14" s="102"/>
      <c r="V14" s="80"/>
      <c r="W14" s="105" t="s">
        <v>104</v>
      </c>
      <c r="X14" s="103"/>
      <c r="Y14" s="103"/>
      <c r="Z14" s="103"/>
      <c r="AA14" s="103"/>
      <c r="AB14" s="103"/>
      <c r="AC14" s="101"/>
      <c r="AD14" s="102"/>
      <c r="AE14" s="72"/>
      <c r="AF14" s="72"/>
      <c r="AG14" s="72"/>
    </row>
    <row r="15" spans="1:33" ht="14.25" customHeight="1">
      <c r="A15" s="72"/>
      <c r="B15" s="72"/>
      <c r="C15" s="72"/>
      <c r="D15" s="72"/>
      <c r="E15" s="106" t="s">
        <v>46</v>
      </c>
      <c r="F15" s="100"/>
      <c r="G15" s="101"/>
      <c r="H15" s="101"/>
      <c r="I15" s="101"/>
      <c r="J15" s="101"/>
      <c r="K15" s="101"/>
      <c r="L15" s="102"/>
      <c r="M15" s="83"/>
      <c r="N15" s="106" t="s">
        <v>46</v>
      </c>
      <c r="O15" s="103"/>
      <c r="P15" s="103"/>
      <c r="Q15" s="101"/>
      <c r="R15" s="101"/>
      <c r="S15" s="101"/>
      <c r="T15" s="137"/>
      <c r="U15" s="137"/>
      <c r="V15" s="80"/>
      <c r="W15" s="106" t="s">
        <v>46</v>
      </c>
      <c r="X15" s="103"/>
      <c r="Y15" s="103"/>
      <c r="Z15" s="103"/>
      <c r="AA15" s="103"/>
      <c r="AB15" s="103"/>
      <c r="AC15" s="101"/>
      <c r="AD15" s="102"/>
      <c r="AE15" s="72"/>
      <c r="AF15" s="72"/>
      <c r="AG15" s="72"/>
    </row>
    <row r="16" spans="1:33" ht="14.25" customHeight="1">
      <c r="A16" s="72"/>
      <c r="B16" s="72"/>
      <c r="C16" s="72"/>
      <c r="D16" s="72"/>
      <c r="E16" s="106" t="s">
        <v>19</v>
      </c>
      <c r="F16" s="100"/>
      <c r="G16" s="101"/>
      <c r="H16" s="101"/>
      <c r="I16" s="101"/>
      <c r="J16" s="101"/>
      <c r="K16" s="101"/>
      <c r="L16" s="102"/>
      <c r="M16" s="83"/>
      <c r="N16" s="106" t="s">
        <v>19</v>
      </c>
      <c r="O16" s="103"/>
      <c r="P16" s="103"/>
      <c r="Q16" s="101"/>
      <c r="R16" s="101"/>
      <c r="S16" s="101"/>
      <c r="T16" s="137"/>
      <c r="U16" s="137"/>
      <c r="V16" s="80"/>
      <c r="W16" s="106" t="s">
        <v>19</v>
      </c>
      <c r="X16" s="103"/>
      <c r="Y16" s="103"/>
      <c r="Z16" s="103"/>
      <c r="AA16" s="103"/>
      <c r="AB16" s="103"/>
      <c r="AC16" s="101"/>
      <c r="AD16" s="102"/>
      <c r="AE16" s="72"/>
      <c r="AF16" s="72"/>
      <c r="AG16" s="72"/>
    </row>
    <row r="17" spans="1:33" ht="14.25" customHeight="1">
      <c r="A17" s="72"/>
      <c r="B17" s="72"/>
      <c r="C17" s="72"/>
      <c r="D17" s="72"/>
      <c r="E17" s="106" t="s">
        <v>25</v>
      </c>
      <c r="F17" s="100"/>
      <c r="G17" s="101"/>
      <c r="H17" s="101"/>
      <c r="I17" s="101"/>
      <c r="J17" s="101"/>
      <c r="K17" s="101"/>
      <c r="L17" s="102"/>
      <c r="M17" s="83"/>
      <c r="N17" s="106" t="s">
        <v>25</v>
      </c>
      <c r="O17" s="103"/>
      <c r="P17" s="103"/>
      <c r="Q17" s="101"/>
      <c r="R17" s="101"/>
      <c r="S17" s="101"/>
      <c r="T17" s="107"/>
      <c r="U17" s="107"/>
      <c r="V17" s="80"/>
      <c r="W17" s="106" t="s">
        <v>25</v>
      </c>
      <c r="X17" s="103"/>
      <c r="Y17" s="103"/>
      <c r="Z17" s="103"/>
      <c r="AA17" s="103"/>
      <c r="AB17" s="103"/>
      <c r="AC17" s="101"/>
      <c r="AD17" s="102"/>
      <c r="AE17" s="72"/>
      <c r="AF17" s="72"/>
      <c r="AG17" s="72"/>
    </row>
    <row r="18" spans="1:33" ht="14.25" customHeight="1">
      <c r="A18" s="72"/>
      <c r="B18" s="72"/>
      <c r="C18" s="72"/>
      <c r="D18" s="72"/>
      <c r="E18" s="108" t="s">
        <v>31</v>
      </c>
      <c r="F18" s="100"/>
      <c r="G18" s="101"/>
      <c r="H18" s="101"/>
      <c r="I18" s="101"/>
      <c r="J18" s="101"/>
      <c r="K18" s="101"/>
      <c r="L18" s="102"/>
      <c r="M18" s="83"/>
      <c r="N18" s="108" t="s">
        <v>31</v>
      </c>
      <c r="O18" s="103"/>
      <c r="P18" s="103"/>
      <c r="Q18" s="101"/>
      <c r="R18" s="101"/>
      <c r="S18" s="101"/>
      <c r="T18" s="107"/>
      <c r="U18" s="107"/>
      <c r="V18" s="80"/>
      <c r="W18" s="108" t="s">
        <v>31</v>
      </c>
      <c r="X18" s="103"/>
      <c r="Y18" s="103"/>
      <c r="Z18" s="103"/>
      <c r="AA18" s="103"/>
      <c r="AB18" s="103"/>
      <c r="AC18" s="101"/>
      <c r="AD18" s="102"/>
      <c r="AE18" s="72"/>
      <c r="AF18" s="72"/>
      <c r="AG18" s="72"/>
    </row>
    <row r="19" spans="1:33" ht="14.25" customHeight="1">
      <c r="A19" s="72"/>
      <c r="B19" s="72"/>
      <c r="C19" s="72"/>
      <c r="D19" s="72"/>
      <c r="E19" s="108" t="s">
        <v>26</v>
      </c>
      <c r="F19" s="100"/>
      <c r="G19" s="101"/>
      <c r="H19" s="101"/>
      <c r="I19" s="101"/>
      <c r="J19" s="101"/>
      <c r="K19" s="101"/>
      <c r="L19" s="102"/>
      <c r="M19" s="83"/>
      <c r="N19" s="108" t="s">
        <v>26</v>
      </c>
      <c r="O19" s="103"/>
      <c r="P19" s="103"/>
      <c r="Q19" s="101"/>
      <c r="R19" s="101"/>
      <c r="S19" s="101"/>
      <c r="T19" s="107"/>
      <c r="U19" s="107"/>
      <c r="V19" s="80"/>
      <c r="W19" s="108" t="s">
        <v>26</v>
      </c>
      <c r="X19" s="103"/>
      <c r="Y19" s="103"/>
      <c r="Z19" s="103"/>
      <c r="AA19" s="103"/>
      <c r="AB19" s="103"/>
      <c r="AC19" s="101"/>
      <c r="AD19" s="102"/>
      <c r="AE19" s="72"/>
      <c r="AF19" s="72"/>
      <c r="AG19" s="72"/>
    </row>
    <row r="20" spans="1:33" ht="14.25" customHeight="1">
      <c r="A20" s="72"/>
      <c r="B20" s="72"/>
      <c r="C20" s="72"/>
      <c r="D20" s="72"/>
      <c r="E20" s="109" t="s">
        <v>28</v>
      </c>
      <c r="F20" s="110"/>
      <c r="G20" s="111"/>
      <c r="H20" s="111"/>
      <c r="I20" s="111"/>
      <c r="J20" s="111"/>
      <c r="K20" s="101"/>
      <c r="L20" s="102"/>
      <c r="M20" s="83"/>
      <c r="N20" s="109" t="s">
        <v>28</v>
      </c>
      <c r="O20" s="112"/>
      <c r="P20" s="112"/>
      <c r="Q20" s="111"/>
      <c r="R20" s="111"/>
      <c r="S20" s="111"/>
      <c r="T20" s="107"/>
      <c r="U20" s="107"/>
      <c r="V20" s="80"/>
      <c r="W20" s="109" t="s">
        <v>28</v>
      </c>
      <c r="X20" s="112"/>
      <c r="Y20" s="112"/>
      <c r="Z20" s="112"/>
      <c r="AA20" s="112"/>
      <c r="AB20" s="112"/>
      <c r="AC20" s="101"/>
      <c r="AD20" s="102"/>
      <c r="AE20" s="72"/>
      <c r="AF20" s="72"/>
      <c r="AG20" s="72"/>
    </row>
    <row r="21" spans="1:33" ht="14.25" customHeight="1">
      <c r="A21" s="72"/>
      <c r="B21" s="72"/>
      <c r="C21" s="72"/>
      <c r="D21" s="72"/>
      <c r="E21" s="72"/>
      <c r="F21" s="86">
        <f>L9+1</f>
        <v>8</v>
      </c>
      <c r="G21" s="86">
        <f t="shared" ref="G21:L21" si="3">F21+1</f>
        <v>9</v>
      </c>
      <c r="H21" s="86">
        <f t="shared" si="3"/>
        <v>10</v>
      </c>
      <c r="I21" s="86">
        <f t="shared" si="3"/>
        <v>11</v>
      </c>
      <c r="J21" s="86">
        <f t="shared" si="3"/>
        <v>12</v>
      </c>
      <c r="K21" s="86">
        <f t="shared" si="3"/>
        <v>13</v>
      </c>
      <c r="L21" s="86">
        <f t="shared" si="3"/>
        <v>14</v>
      </c>
      <c r="M21" s="89"/>
      <c r="N21" s="72"/>
      <c r="O21" s="86">
        <f>U9+1</f>
        <v>6</v>
      </c>
      <c r="P21" s="86">
        <f t="shared" ref="P21:U21" si="4">O21+1</f>
        <v>7</v>
      </c>
      <c r="Q21" s="86">
        <f t="shared" si="4"/>
        <v>8</v>
      </c>
      <c r="R21" s="86">
        <f t="shared" si="4"/>
        <v>9</v>
      </c>
      <c r="S21" s="86">
        <f t="shared" si="4"/>
        <v>10</v>
      </c>
      <c r="T21" s="86">
        <f t="shared" si="4"/>
        <v>11</v>
      </c>
      <c r="U21" s="86">
        <f t="shared" si="4"/>
        <v>12</v>
      </c>
      <c r="V21" s="79"/>
      <c r="W21" s="72"/>
      <c r="X21" s="86">
        <f>AD9+1</f>
        <v>3</v>
      </c>
      <c r="Y21" s="86">
        <f t="shared" ref="Y21:AD21" si="5">X21+1</f>
        <v>4</v>
      </c>
      <c r="Z21" s="86">
        <f t="shared" si="5"/>
        <v>5</v>
      </c>
      <c r="AA21" s="86">
        <f t="shared" si="5"/>
        <v>6</v>
      </c>
      <c r="AB21" s="86">
        <f t="shared" si="5"/>
        <v>7</v>
      </c>
      <c r="AC21" s="86">
        <f t="shared" si="5"/>
        <v>8</v>
      </c>
      <c r="AD21" s="86">
        <f t="shared" si="5"/>
        <v>9</v>
      </c>
      <c r="AE21" s="72"/>
      <c r="AF21" s="72"/>
      <c r="AG21" s="72"/>
    </row>
    <row r="22" spans="1:33" ht="14.25" customHeight="1">
      <c r="A22" s="72"/>
      <c r="B22" s="72"/>
      <c r="C22" s="72"/>
      <c r="D22" s="72"/>
      <c r="E22" s="92" t="s">
        <v>397</v>
      </c>
      <c r="F22" s="94"/>
      <c r="G22" s="94"/>
      <c r="H22" s="94"/>
      <c r="I22" s="94"/>
      <c r="J22" s="94"/>
      <c r="K22" s="94"/>
      <c r="L22" s="95"/>
      <c r="M22" s="83"/>
      <c r="N22" s="92" t="s">
        <v>397</v>
      </c>
      <c r="O22" s="104"/>
      <c r="P22" s="104"/>
      <c r="Q22" s="104"/>
      <c r="R22" s="94"/>
      <c r="S22" s="94"/>
      <c r="T22" s="94"/>
      <c r="U22" s="95"/>
      <c r="V22" s="80"/>
      <c r="W22" s="92" t="s">
        <v>397</v>
      </c>
      <c r="X22" s="104"/>
      <c r="Y22" s="104"/>
      <c r="Z22" s="104"/>
      <c r="AA22" s="94"/>
      <c r="AB22" s="94"/>
      <c r="AC22" s="94"/>
      <c r="AD22" s="95"/>
      <c r="AE22" s="72"/>
      <c r="AF22" s="72"/>
      <c r="AG22" s="72"/>
    </row>
    <row r="23" spans="1:33" ht="14.25" customHeight="1">
      <c r="A23" s="72"/>
      <c r="B23" s="72"/>
      <c r="C23" s="72"/>
      <c r="D23" s="72"/>
      <c r="E23" s="99" t="s">
        <v>82</v>
      </c>
      <c r="F23" s="101"/>
      <c r="G23" s="101"/>
      <c r="H23" s="101"/>
      <c r="I23" s="101"/>
      <c r="J23" s="101"/>
      <c r="K23" s="101"/>
      <c r="L23" s="102"/>
      <c r="M23" s="83"/>
      <c r="N23" s="99" t="s">
        <v>82</v>
      </c>
      <c r="O23" s="113"/>
      <c r="P23" s="114"/>
      <c r="Q23" s="104"/>
      <c r="R23" s="101"/>
      <c r="S23" s="101"/>
      <c r="T23" s="101"/>
      <c r="U23" s="102"/>
      <c r="V23" s="80"/>
      <c r="W23" s="99" t="s">
        <v>82</v>
      </c>
      <c r="X23" s="113"/>
      <c r="Y23" s="114"/>
      <c r="Z23" s="104"/>
      <c r="AA23" s="101"/>
      <c r="AB23" s="101"/>
      <c r="AC23" s="101"/>
      <c r="AD23" s="102"/>
      <c r="AE23" s="72"/>
      <c r="AF23" s="72"/>
      <c r="AG23" s="72"/>
    </row>
    <row r="24" spans="1:33" ht="14.25" customHeight="1">
      <c r="A24" s="72"/>
      <c r="B24" s="72"/>
      <c r="C24" s="72"/>
      <c r="D24" s="72"/>
      <c r="E24" s="99" t="s">
        <v>92</v>
      </c>
      <c r="F24" s="101"/>
      <c r="G24" s="101"/>
      <c r="H24" s="101"/>
      <c r="I24" s="101"/>
      <c r="J24" s="101"/>
      <c r="K24" s="101"/>
      <c r="L24" s="102"/>
      <c r="M24" s="83"/>
      <c r="N24" s="99" t="s">
        <v>92</v>
      </c>
      <c r="O24" s="113"/>
      <c r="P24" s="114"/>
      <c r="Q24" s="104"/>
      <c r="R24" s="101"/>
      <c r="S24" s="101"/>
      <c r="T24" s="101"/>
      <c r="U24" s="102"/>
      <c r="V24" s="80"/>
      <c r="W24" s="99" t="s">
        <v>92</v>
      </c>
      <c r="X24" s="113"/>
      <c r="Y24" s="114"/>
      <c r="Z24" s="104"/>
      <c r="AA24" s="101"/>
      <c r="AB24" s="101"/>
      <c r="AC24" s="101"/>
      <c r="AD24" s="102"/>
      <c r="AE24" s="72"/>
      <c r="AF24" s="72"/>
      <c r="AG24" s="72"/>
    </row>
    <row r="25" spans="1:33" ht="14.25" customHeight="1">
      <c r="A25" s="72"/>
      <c r="B25" s="72"/>
      <c r="C25" s="72"/>
      <c r="D25" s="72"/>
      <c r="E25" s="105" t="s">
        <v>98</v>
      </c>
      <c r="F25" s="101"/>
      <c r="G25" s="101"/>
      <c r="H25" s="101"/>
      <c r="I25" s="101"/>
      <c r="J25" s="101"/>
      <c r="K25" s="101"/>
      <c r="L25" s="102"/>
      <c r="M25" s="83"/>
      <c r="N25" s="105" t="s">
        <v>98</v>
      </c>
      <c r="O25" s="113"/>
      <c r="P25" s="114"/>
      <c r="Q25" s="104"/>
      <c r="R25" s="101"/>
      <c r="S25" s="101"/>
      <c r="T25" s="101"/>
      <c r="U25" s="102"/>
      <c r="V25" s="80"/>
      <c r="W25" s="105" t="s">
        <v>98</v>
      </c>
      <c r="X25" s="113"/>
      <c r="Y25" s="114"/>
      <c r="Z25" s="104"/>
      <c r="AA25" s="101"/>
      <c r="AB25" s="101"/>
      <c r="AC25" s="101"/>
      <c r="AD25" s="102"/>
      <c r="AE25" s="72"/>
      <c r="AF25" s="72"/>
      <c r="AG25" s="72"/>
    </row>
    <row r="26" spans="1:33" ht="14.25" customHeight="1">
      <c r="A26" s="72"/>
      <c r="B26" s="72"/>
      <c r="C26" s="72"/>
      <c r="D26" s="72"/>
      <c r="E26" s="105" t="s">
        <v>104</v>
      </c>
      <c r="F26" s="101"/>
      <c r="G26" s="101"/>
      <c r="H26" s="101"/>
      <c r="I26" s="101"/>
      <c r="J26" s="101"/>
      <c r="K26" s="101"/>
      <c r="L26" s="102"/>
      <c r="M26" s="83"/>
      <c r="N26" s="105" t="s">
        <v>104</v>
      </c>
      <c r="O26" s="113"/>
      <c r="P26" s="114"/>
      <c r="Q26" s="104"/>
      <c r="R26" s="101"/>
      <c r="S26" s="101"/>
      <c r="T26" s="101"/>
      <c r="U26" s="102"/>
      <c r="V26" s="80"/>
      <c r="W26" s="105" t="s">
        <v>104</v>
      </c>
      <c r="X26" s="113"/>
      <c r="Y26" s="114"/>
      <c r="Z26" s="104"/>
      <c r="AA26" s="101"/>
      <c r="AB26" s="101"/>
      <c r="AC26" s="101"/>
      <c r="AD26" s="102"/>
      <c r="AE26" s="72"/>
      <c r="AF26" s="72"/>
      <c r="AG26" s="72"/>
    </row>
    <row r="27" spans="1:33" ht="14.25" customHeight="1">
      <c r="A27" s="72"/>
      <c r="B27" s="72"/>
      <c r="C27" s="72"/>
      <c r="D27" s="72"/>
      <c r="E27" s="106" t="s">
        <v>46</v>
      </c>
      <c r="F27" s="101"/>
      <c r="G27" s="101"/>
      <c r="H27" s="101"/>
      <c r="I27" s="101"/>
      <c r="J27" s="101"/>
      <c r="K27" s="101"/>
      <c r="L27" s="102"/>
      <c r="M27" s="83"/>
      <c r="N27" s="106" t="s">
        <v>46</v>
      </c>
      <c r="O27" s="101"/>
      <c r="P27" s="101"/>
      <c r="Q27" s="101"/>
      <c r="R27" s="101"/>
      <c r="S27" s="101"/>
      <c r="T27" s="107"/>
      <c r="U27" s="107"/>
      <c r="V27" s="80"/>
      <c r="W27" s="106" t="s">
        <v>46</v>
      </c>
      <c r="X27" s="101"/>
      <c r="Y27" s="101"/>
      <c r="Z27" s="101"/>
      <c r="AA27" s="101"/>
      <c r="AB27" s="101"/>
      <c r="AC27" s="104"/>
      <c r="AD27" s="104"/>
      <c r="AE27" s="72"/>
      <c r="AF27" s="72"/>
      <c r="AG27" s="72"/>
    </row>
    <row r="28" spans="1:33" ht="14.25" customHeight="1">
      <c r="A28" s="72"/>
      <c r="B28" s="72"/>
      <c r="C28" s="72"/>
      <c r="D28" s="72"/>
      <c r="E28" s="106" t="s">
        <v>19</v>
      </c>
      <c r="F28" s="101"/>
      <c r="G28" s="101"/>
      <c r="H28" s="101"/>
      <c r="I28" s="101"/>
      <c r="J28" s="101"/>
      <c r="K28" s="101"/>
      <c r="L28" s="102"/>
      <c r="M28" s="83"/>
      <c r="N28" s="106" t="s">
        <v>19</v>
      </c>
      <c r="O28" s="101"/>
      <c r="P28" s="101"/>
      <c r="Q28" s="101"/>
      <c r="R28" s="101"/>
      <c r="S28" s="101"/>
      <c r="T28" s="101"/>
      <c r="U28" s="102"/>
      <c r="V28" s="80"/>
      <c r="W28" s="106" t="s">
        <v>19</v>
      </c>
      <c r="X28" s="101"/>
      <c r="Y28" s="101"/>
      <c r="Z28" s="101"/>
      <c r="AA28" s="101"/>
      <c r="AB28" s="101"/>
      <c r="AC28" s="104"/>
      <c r="AD28" s="104"/>
      <c r="AE28" s="72"/>
      <c r="AF28" s="72"/>
      <c r="AG28" s="72"/>
    </row>
    <row r="29" spans="1:33" ht="14.25" customHeight="1">
      <c r="A29" s="72"/>
      <c r="B29" s="72"/>
      <c r="C29" s="72"/>
      <c r="D29" s="72"/>
      <c r="E29" s="106" t="s">
        <v>25</v>
      </c>
      <c r="F29" s="101"/>
      <c r="G29" s="101"/>
      <c r="H29" s="101"/>
      <c r="I29" s="101"/>
      <c r="J29" s="101"/>
      <c r="K29" s="101"/>
      <c r="L29" s="102"/>
      <c r="M29" s="83"/>
      <c r="N29" s="106" t="s">
        <v>25</v>
      </c>
      <c r="O29" s="101"/>
      <c r="P29" s="101"/>
      <c r="Q29" s="101"/>
      <c r="R29" s="101"/>
      <c r="S29" s="101"/>
      <c r="T29" s="101"/>
      <c r="U29" s="102"/>
      <c r="V29" s="80"/>
      <c r="W29" s="106" t="s">
        <v>25</v>
      </c>
      <c r="X29" s="101"/>
      <c r="Y29" s="101"/>
      <c r="Z29" s="101"/>
      <c r="AA29" s="101"/>
      <c r="AB29" s="101"/>
      <c r="AC29" s="104"/>
      <c r="AD29" s="104"/>
      <c r="AE29" s="72"/>
      <c r="AF29" s="72"/>
      <c r="AG29" s="72"/>
    </row>
    <row r="30" spans="1:33" ht="14.25" customHeight="1">
      <c r="A30" s="72"/>
      <c r="B30" s="72"/>
      <c r="C30" s="72"/>
      <c r="D30" s="72"/>
      <c r="E30" s="108" t="s">
        <v>31</v>
      </c>
      <c r="F30" s="101"/>
      <c r="G30" s="101"/>
      <c r="H30" s="101"/>
      <c r="I30" s="101"/>
      <c r="J30" s="101"/>
      <c r="K30" s="101"/>
      <c r="L30" s="102"/>
      <c r="M30" s="83"/>
      <c r="N30" s="108" t="s">
        <v>31</v>
      </c>
      <c r="O30" s="101"/>
      <c r="P30" s="101"/>
      <c r="Q30" s="101"/>
      <c r="R30" s="101"/>
      <c r="S30" s="101"/>
      <c r="T30" s="101"/>
      <c r="U30" s="102"/>
      <c r="V30" s="80"/>
      <c r="W30" s="108" t="s">
        <v>31</v>
      </c>
      <c r="X30" s="101"/>
      <c r="Y30" s="101"/>
      <c r="Z30" s="101"/>
      <c r="AA30" s="101"/>
      <c r="AB30" s="101"/>
      <c r="AC30" s="104"/>
      <c r="AD30" s="104"/>
      <c r="AE30" s="72"/>
      <c r="AF30" s="72"/>
      <c r="AG30" s="72"/>
    </row>
    <row r="31" spans="1:33" ht="14.25" customHeight="1">
      <c r="A31" s="72"/>
      <c r="B31" s="72"/>
      <c r="C31" s="72"/>
      <c r="D31" s="72"/>
      <c r="E31" s="108" t="s">
        <v>26</v>
      </c>
      <c r="F31" s="101"/>
      <c r="G31" s="101"/>
      <c r="H31" s="101"/>
      <c r="I31" s="101"/>
      <c r="J31" s="101"/>
      <c r="K31" s="101"/>
      <c r="L31" s="102"/>
      <c r="M31" s="83"/>
      <c r="N31" s="108" t="s">
        <v>26</v>
      </c>
      <c r="O31" s="101"/>
      <c r="P31" s="101"/>
      <c r="Q31" s="101"/>
      <c r="R31" s="101"/>
      <c r="S31" s="101"/>
      <c r="T31" s="101"/>
      <c r="U31" s="102"/>
      <c r="V31" s="80"/>
      <c r="W31" s="108" t="s">
        <v>26</v>
      </c>
      <c r="X31" s="101"/>
      <c r="Y31" s="101"/>
      <c r="Z31" s="101"/>
      <c r="AA31" s="101"/>
      <c r="AB31" s="101"/>
      <c r="AC31" s="104"/>
      <c r="AD31" s="104"/>
      <c r="AE31" s="72"/>
      <c r="AF31" s="72"/>
      <c r="AG31" s="72"/>
    </row>
    <row r="32" spans="1:33" ht="14.25" customHeight="1">
      <c r="A32" s="72"/>
      <c r="B32" s="72"/>
      <c r="C32" s="72"/>
      <c r="D32" s="72"/>
      <c r="E32" s="109" t="s">
        <v>28</v>
      </c>
      <c r="F32" s="111"/>
      <c r="G32" s="111"/>
      <c r="H32" s="111"/>
      <c r="I32" s="111"/>
      <c r="J32" s="111"/>
      <c r="K32" s="101"/>
      <c r="L32" s="102"/>
      <c r="M32" s="83"/>
      <c r="N32" s="109" t="s">
        <v>28</v>
      </c>
      <c r="O32" s="111"/>
      <c r="P32" s="111"/>
      <c r="Q32" s="111"/>
      <c r="R32" s="111"/>
      <c r="S32" s="111"/>
      <c r="T32" s="101"/>
      <c r="U32" s="102"/>
      <c r="V32" s="80"/>
      <c r="W32" s="109" t="s">
        <v>28</v>
      </c>
      <c r="X32" s="111"/>
      <c r="Y32" s="111"/>
      <c r="Z32" s="111"/>
      <c r="AA32" s="111"/>
      <c r="AB32" s="111"/>
      <c r="AC32" s="104"/>
      <c r="AD32" s="104"/>
      <c r="AE32" s="72"/>
      <c r="AF32" s="72"/>
      <c r="AG32" s="72"/>
    </row>
    <row r="33" spans="1:33" ht="14.25" customHeight="1">
      <c r="A33" s="72"/>
      <c r="B33" s="72"/>
      <c r="C33" s="72"/>
      <c r="D33" s="72"/>
      <c r="E33" s="72"/>
      <c r="F33" s="86">
        <f>L21+1</f>
        <v>15</v>
      </c>
      <c r="G33" s="86">
        <f t="shared" ref="G33:L33" si="6">F33+1</f>
        <v>16</v>
      </c>
      <c r="H33" s="86">
        <f t="shared" si="6"/>
        <v>17</v>
      </c>
      <c r="I33" s="86">
        <f t="shared" si="6"/>
        <v>18</v>
      </c>
      <c r="J33" s="86">
        <f t="shared" si="6"/>
        <v>19</v>
      </c>
      <c r="K33" s="86">
        <f t="shared" si="6"/>
        <v>20</v>
      </c>
      <c r="L33" s="86">
        <f t="shared" si="6"/>
        <v>21</v>
      </c>
      <c r="M33" s="89"/>
      <c r="N33" s="72"/>
      <c r="O33" s="86">
        <f>U21+1</f>
        <v>13</v>
      </c>
      <c r="P33" s="86">
        <f t="shared" ref="P33:U33" si="7">O33+1</f>
        <v>14</v>
      </c>
      <c r="Q33" s="86">
        <f t="shared" si="7"/>
        <v>15</v>
      </c>
      <c r="R33" s="86">
        <f t="shared" si="7"/>
        <v>16</v>
      </c>
      <c r="S33" s="86">
        <f t="shared" si="7"/>
        <v>17</v>
      </c>
      <c r="T33" s="86">
        <f t="shared" si="7"/>
        <v>18</v>
      </c>
      <c r="U33" s="86">
        <f t="shared" si="7"/>
        <v>19</v>
      </c>
      <c r="V33" s="79"/>
      <c r="W33" s="72"/>
      <c r="X33" s="86">
        <f>AD21+1</f>
        <v>10</v>
      </c>
      <c r="Y33" s="86">
        <f t="shared" ref="Y33:AD33" si="8">X33+1</f>
        <v>11</v>
      </c>
      <c r="Z33" s="86">
        <f t="shared" si="8"/>
        <v>12</v>
      </c>
      <c r="AA33" s="86">
        <f t="shared" si="8"/>
        <v>13</v>
      </c>
      <c r="AB33" s="86">
        <f t="shared" si="8"/>
        <v>14</v>
      </c>
      <c r="AC33" s="86">
        <f t="shared" si="8"/>
        <v>15</v>
      </c>
      <c r="AD33" s="86">
        <f t="shared" si="8"/>
        <v>16</v>
      </c>
      <c r="AE33" s="72"/>
      <c r="AF33" s="72"/>
      <c r="AG33" s="72"/>
    </row>
    <row r="34" spans="1:33" ht="14.25" customHeight="1">
      <c r="A34" s="72"/>
      <c r="B34" s="72"/>
      <c r="C34" s="72"/>
      <c r="D34" s="72"/>
      <c r="E34" s="92" t="s">
        <v>397</v>
      </c>
      <c r="F34" s="94"/>
      <c r="G34" s="94"/>
      <c r="H34" s="93"/>
      <c r="I34" s="94"/>
      <c r="J34" s="94"/>
      <c r="K34" s="94"/>
      <c r="L34" s="95"/>
      <c r="M34" s="83"/>
      <c r="N34" s="92" t="s">
        <v>397</v>
      </c>
      <c r="O34" s="116"/>
      <c r="P34" s="116"/>
      <c r="Q34" s="97"/>
      <c r="R34" s="97"/>
      <c r="S34" s="94"/>
      <c r="T34" s="94"/>
      <c r="U34" s="95"/>
      <c r="V34" s="80"/>
      <c r="W34" s="92" t="s">
        <v>397</v>
      </c>
      <c r="X34" s="116"/>
      <c r="Y34" s="116"/>
      <c r="Z34" s="97"/>
      <c r="AA34" s="97"/>
      <c r="AB34" s="94"/>
      <c r="AC34" s="94"/>
      <c r="AD34" s="95"/>
      <c r="AE34" s="72"/>
      <c r="AF34" s="72"/>
      <c r="AG34" s="72"/>
    </row>
    <row r="35" spans="1:33" ht="14.25" customHeight="1">
      <c r="A35" s="72"/>
      <c r="B35" s="72"/>
      <c r="C35" s="72"/>
      <c r="D35" s="72"/>
      <c r="E35" s="99" t="s">
        <v>82</v>
      </c>
      <c r="F35" s="101"/>
      <c r="G35" s="101"/>
      <c r="H35" s="100"/>
      <c r="I35" s="101"/>
      <c r="J35" s="101"/>
      <c r="K35" s="101"/>
      <c r="L35" s="102"/>
      <c r="M35" s="83"/>
      <c r="N35" s="99" t="s">
        <v>82</v>
      </c>
      <c r="O35" s="113"/>
      <c r="P35" s="114"/>
      <c r="Q35" s="104"/>
      <c r="R35" s="101"/>
      <c r="S35" s="101"/>
      <c r="T35" s="101"/>
      <c r="U35" s="102"/>
      <c r="V35" s="80"/>
      <c r="W35" s="99" t="s">
        <v>82</v>
      </c>
      <c r="X35" s="101"/>
      <c r="Y35" s="101"/>
      <c r="Z35" s="101"/>
      <c r="AA35" s="101"/>
      <c r="AB35" s="101"/>
      <c r="AC35" s="101"/>
      <c r="AD35" s="102"/>
      <c r="AE35" s="72"/>
      <c r="AF35" s="72"/>
      <c r="AG35" s="72"/>
    </row>
    <row r="36" spans="1:33" ht="14.25" customHeight="1">
      <c r="A36" s="72"/>
      <c r="B36" s="72"/>
      <c r="C36" s="72"/>
      <c r="D36" s="72"/>
      <c r="E36" s="99" t="s">
        <v>92</v>
      </c>
      <c r="F36" s="101"/>
      <c r="G36" s="101"/>
      <c r="H36" s="100"/>
      <c r="I36" s="101"/>
      <c r="J36" s="101"/>
      <c r="K36" s="101"/>
      <c r="L36" s="102"/>
      <c r="M36" s="83"/>
      <c r="N36" s="99" t="s">
        <v>92</v>
      </c>
      <c r="O36" s="113"/>
      <c r="P36" s="114"/>
      <c r="Q36" s="104"/>
      <c r="R36" s="101"/>
      <c r="S36" s="101"/>
      <c r="T36" s="101"/>
      <c r="U36" s="102"/>
      <c r="V36" s="80"/>
      <c r="W36" s="99" t="s">
        <v>92</v>
      </c>
      <c r="X36" s="101"/>
      <c r="Y36" s="101"/>
      <c r="Z36" s="101"/>
      <c r="AA36" s="101"/>
      <c r="AB36" s="101"/>
      <c r="AC36" s="101"/>
      <c r="AD36" s="102"/>
      <c r="AE36" s="72"/>
      <c r="AF36" s="72"/>
      <c r="AG36" s="72"/>
    </row>
    <row r="37" spans="1:33" ht="14.25" customHeight="1">
      <c r="A37" s="72"/>
      <c r="B37" s="72"/>
      <c r="C37" s="72"/>
      <c r="D37" s="72"/>
      <c r="E37" s="105" t="s">
        <v>98</v>
      </c>
      <c r="F37" s="101"/>
      <c r="G37" s="101"/>
      <c r="H37" s="100"/>
      <c r="I37" s="101"/>
      <c r="J37" s="101"/>
      <c r="K37" s="101"/>
      <c r="L37" s="102"/>
      <c r="M37" s="83"/>
      <c r="N37" s="105" t="s">
        <v>98</v>
      </c>
      <c r="O37" s="113"/>
      <c r="P37" s="114"/>
      <c r="Q37" s="104"/>
      <c r="R37" s="101"/>
      <c r="S37" s="101"/>
      <c r="T37" s="101"/>
      <c r="U37" s="102"/>
      <c r="V37" s="80"/>
      <c r="W37" s="105" t="s">
        <v>98</v>
      </c>
      <c r="X37" s="101"/>
      <c r="Y37" s="101"/>
      <c r="Z37" s="101"/>
      <c r="AA37" s="101"/>
      <c r="AB37" s="101"/>
      <c r="AC37" s="101"/>
      <c r="AD37" s="102"/>
      <c r="AE37" s="72"/>
      <c r="AF37" s="72"/>
      <c r="AG37" s="72"/>
    </row>
    <row r="38" spans="1:33" ht="14.25" customHeight="1">
      <c r="A38" s="72"/>
      <c r="B38" s="72"/>
      <c r="C38" s="72"/>
      <c r="D38" s="72"/>
      <c r="E38" s="105" t="s">
        <v>104</v>
      </c>
      <c r="F38" s="101"/>
      <c r="G38" s="101"/>
      <c r="H38" s="100"/>
      <c r="I38" s="101"/>
      <c r="J38" s="101"/>
      <c r="K38" s="101"/>
      <c r="L38" s="102"/>
      <c r="M38" s="83"/>
      <c r="N38" s="105" t="s">
        <v>104</v>
      </c>
      <c r="O38" s="113"/>
      <c r="P38" s="114"/>
      <c r="Q38" s="104"/>
      <c r="R38" s="101"/>
      <c r="S38" s="101"/>
      <c r="T38" s="101"/>
      <c r="U38" s="102"/>
      <c r="V38" s="80"/>
      <c r="W38" s="105" t="s">
        <v>104</v>
      </c>
      <c r="X38" s="101"/>
      <c r="Y38" s="101"/>
      <c r="Z38" s="101"/>
      <c r="AA38" s="101"/>
      <c r="AB38" s="101"/>
      <c r="AC38" s="101"/>
      <c r="AD38" s="102"/>
      <c r="AE38" s="72"/>
      <c r="AF38" s="72"/>
      <c r="AG38" s="72"/>
    </row>
    <row r="39" spans="1:33" ht="14.25" customHeight="1">
      <c r="A39" s="72"/>
      <c r="B39" s="72"/>
      <c r="C39" s="72"/>
      <c r="D39" s="72"/>
      <c r="E39" s="106" t="s">
        <v>46</v>
      </c>
      <c r="F39" s="101"/>
      <c r="G39" s="101"/>
      <c r="H39" s="100"/>
      <c r="I39" s="101"/>
      <c r="J39" s="101"/>
      <c r="K39" s="261" t="s">
        <v>511</v>
      </c>
      <c r="L39" s="262"/>
      <c r="M39" s="83"/>
      <c r="N39" s="106" t="s">
        <v>46</v>
      </c>
      <c r="O39" s="101"/>
      <c r="P39" s="101"/>
      <c r="Q39" s="101"/>
      <c r="R39" s="101"/>
      <c r="S39" s="101"/>
      <c r="T39" s="115"/>
      <c r="U39" s="115"/>
      <c r="V39" s="80"/>
      <c r="W39" s="106" t="s">
        <v>46</v>
      </c>
      <c r="X39" s="101"/>
      <c r="Y39" s="101"/>
      <c r="Z39" s="101"/>
      <c r="AA39" s="101"/>
      <c r="AB39" s="101"/>
      <c r="AC39" s="104"/>
      <c r="AD39" s="104"/>
      <c r="AE39" s="72"/>
      <c r="AF39" s="72"/>
      <c r="AG39" s="72"/>
    </row>
    <row r="40" spans="1:33" ht="14.25" customHeight="1">
      <c r="A40" s="72"/>
      <c r="B40" s="72"/>
      <c r="C40" s="72"/>
      <c r="D40" s="72"/>
      <c r="E40" s="106" t="s">
        <v>19</v>
      </c>
      <c r="F40" s="101"/>
      <c r="G40" s="101"/>
      <c r="H40" s="100"/>
      <c r="I40" s="101"/>
      <c r="J40" s="101"/>
      <c r="K40" s="101"/>
      <c r="L40" s="102"/>
      <c r="M40" s="83"/>
      <c r="N40" s="106" t="s">
        <v>19</v>
      </c>
      <c r="O40" s="101"/>
      <c r="P40" s="101"/>
      <c r="Q40" s="101"/>
      <c r="R40" s="101"/>
      <c r="S40" s="101"/>
      <c r="T40" s="115"/>
      <c r="U40" s="115"/>
      <c r="V40" s="80"/>
      <c r="W40" s="106" t="s">
        <v>19</v>
      </c>
      <c r="X40" s="101"/>
      <c r="Y40" s="101"/>
      <c r="Z40" s="101"/>
      <c r="AA40" s="101"/>
      <c r="AB40" s="101"/>
      <c r="AC40" s="104"/>
      <c r="AD40" s="104"/>
      <c r="AE40" s="72"/>
      <c r="AF40" s="72"/>
      <c r="AG40" s="72"/>
    </row>
    <row r="41" spans="1:33" ht="14.25" customHeight="1">
      <c r="A41" s="72"/>
      <c r="B41" s="72"/>
      <c r="C41" s="72"/>
      <c r="D41" s="72"/>
      <c r="E41" s="106" t="s">
        <v>25</v>
      </c>
      <c r="F41" s="101"/>
      <c r="G41" s="101"/>
      <c r="H41" s="100"/>
      <c r="I41" s="101"/>
      <c r="J41" s="101"/>
      <c r="K41" s="101"/>
      <c r="L41" s="102"/>
      <c r="M41" s="83"/>
      <c r="N41" s="106" t="s">
        <v>25</v>
      </c>
      <c r="O41" s="101"/>
      <c r="P41" s="101"/>
      <c r="Q41" s="101"/>
      <c r="R41" s="101"/>
      <c r="S41" s="101"/>
      <c r="T41" s="115"/>
      <c r="U41" s="115"/>
      <c r="V41" s="80"/>
      <c r="W41" s="106" t="s">
        <v>25</v>
      </c>
      <c r="X41" s="101"/>
      <c r="Y41" s="101"/>
      <c r="Z41" s="101"/>
      <c r="AA41" s="101"/>
      <c r="AB41" s="101"/>
      <c r="AC41" s="104"/>
      <c r="AD41" s="104"/>
      <c r="AE41" s="72"/>
      <c r="AF41" s="72"/>
      <c r="AG41" s="72"/>
    </row>
    <row r="42" spans="1:33" ht="14.25" customHeight="1">
      <c r="A42" s="72"/>
      <c r="B42" s="72"/>
      <c r="C42" s="72"/>
      <c r="D42" s="72"/>
      <c r="E42" s="108" t="s">
        <v>31</v>
      </c>
      <c r="F42" s="101"/>
      <c r="G42" s="101"/>
      <c r="H42" s="100"/>
      <c r="I42" s="101"/>
      <c r="J42" s="101"/>
      <c r="K42" s="101"/>
      <c r="L42" s="102"/>
      <c r="M42" s="83"/>
      <c r="N42" s="108" t="s">
        <v>31</v>
      </c>
      <c r="O42" s="101"/>
      <c r="P42" s="101"/>
      <c r="Q42" s="101"/>
      <c r="R42" s="101"/>
      <c r="S42" s="101"/>
      <c r="T42" s="115"/>
      <c r="U42" s="115"/>
      <c r="V42" s="80"/>
      <c r="W42" s="108" t="s">
        <v>31</v>
      </c>
      <c r="X42" s="101"/>
      <c r="Y42" s="101"/>
      <c r="Z42" s="101"/>
      <c r="AA42" s="101"/>
      <c r="AB42" s="101"/>
      <c r="AC42" s="104"/>
      <c r="AD42" s="104"/>
      <c r="AE42" s="72"/>
      <c r="AF42" s="72"/>
      <c r="AG42" s="72"/>
    </row>
    <row r="43" spans="1:33" ht="14.25" customHeight="1">
      <c r="A43" s="72"/>
      <c r="B43" s="72"/>
      <c r="C43" s="72"/>
      <c r="D43" s="72"/>
      <c r="E43" s="108" t="s">
        <v>26</v>
      </c>
      <c r="F43" s="101"/>
      <c r="G43" s="101"/>
      <c r="H43" s="100"/>
      <c r="I43" s="101"/>
      <c r="J43" s="101"/>
      <c r="K43" s="101"/>
      <c r="L43" s="102"/>
      <c r="M43" s="83"/>
      <c r="N43" s="108" t="s">
        <v>26</v>
      </c>
      <c r="O43" s="101"/>
      <c r="P43" s="101"/>
      <c r="Q43" s="101"/>
      <c r="R43" s="101"/>
      <c r="S43" s="101"/>
      <c r="T43" s="115"/>
      <c r="U43" s="115"/>
      <c r="V43" s="80"/>
      <c r="W43" s="108" t="s">
        <v>26</v>
      </c>
      <c r="X43" s="101"/>
      <c r="Y43" s="101"/>
      <c r="Z43" s="101"/>
      <c r="AA43" s="101"/>
      <c r="AB43" s="101"/>
      <c r="AC43" s="104"/>
      <c r="AD43" s="104"/>
      <c r="AE43" s="72"/>
      <c r="AF43" s="72"/>
      <c r="AG43" s="72"/>
    </row>
    <row r="44" spans="1:33" ht="14.25" customHeight="1">
      <c r="A44" s="72"/>
      <c r="B44" s="72"/>
      <c r="C44" s="72"/>
      <c r="D44" s="72"/>
      <c r="E44" s="109" t="s">
        <v>28</v>
      </c>
      <c r="F44" s="111"/>
      <c r="G44" s="111"/>
      <c r="H44" s="110"/>
      <c r="I44" s="111"/>
      <c r="J44" s="111"/>
      <c r="K44" s="101"/>
      <c r="L44" s="102"/>
      <c r="M44" s="83"/>
      <c r="N44" s="109" t="s">
        <v>28</v>
      </c>
      <c r="O44" s="111"/>
      <c r="P44" s="111"/>
      <c r="Q44" s="111"/>
      <c r="R44" s="111"/>
      <c r="S44" s="111"/>
      <c r="T44" s="115"/>
      <c r="U44" s="115"/>
      <c r="V44" s="80"/>
      <c r="W44" s="109" t="s">
        <v>28</v>
      </c>
      <c r="X44" s="111"/>
      <c r="Y44" s="111"/>
      <c r="Z44" s="111"/>
      <c r="AA44" s="111"/>
      <c r="AB44" s="111"/>
      <c r="AC44" s="104"/>
      <c r="AD44" s="104"/>
      <c r="AE44" s="72"/>
      <c r="AF44" s="72"/>
      <c r="AG44" s="72"/>
    </row>
    <row r="45" spans="1:33" ht="14.25" customHeight="1">
      <c r="A45" s="72"/>
      <c r="B45" s="72"/>
      <c r="C45" s="72"/>
      <c r="D45" s="72"/>
      <c r="E45" s="72"/>
      <c r="F45" s="86">
        <f>L33+1</f>
        <v>22</v>
      </c>
      <c r="G45" s="86">
        <f t="shared" ref="G45:L45" si="9">F45+1</f>
        <v>23</v>
      </c>
      <c r="H45" s="86">
        <f t="shared" si="9"/>
        <v>24</v>
      </c>
      <c r="I45" s="86">
        <f t="shared" si="9"/>
        <v>25</v>
      </c>
      <c r="J45" s="86">
        <f t="shared" si="9"/>
        <v>26</v>
      </c>
      <c r="K45" s="86">
        <f t="shared" si="9"/>
        <v>27</v>
      </c>
      <c r="L45" s="86">
        <f t="shared" si="9"/>
        <v>28</v>
      </c>
      <c r="M45" s="89"/>
      <c r="N45" s="72"/>
      <c r="O45" s="86">
        <f>U33+1</f>
        <v>20</v>
      </c>
      <c r="P45" s="86">
        <f t="shared" ref="P45:U45" si="10">O45+1</f>
        <v>21</v>
      </c>
      <c r="Q45" s="86">
        <f t="shared" si="10"/>
        <v>22</v>
      </c>
      <c r="R45" s="86">
        <f t="shared" si="10"/>
        <v>23</v>
      </c>
      <c r="S45" s="86">
        <f t="shared" si="10"/>
        <v>24</v>
      </c>
      <c r="T45" s="86">
        <f t="shared" si="10"/>
        <v>25</v>
      </c>
      <c r="U45" s="86">
        <f t="shared" si="10"/>
        <v>26</v>
      </c>
      <c r="V45" s="79"/>
      <c r="W45" s="72"/>
      <c r="X45" s="86">
        <f>AD33+1</f>
        <v>17</v>
      </c>
      <c r="Y45" s="86">
        <f t="shared" ref="Y45:AD45" si="11">X45+1</f>
        <v>18</v>
      </c>
      <c r="Z45" s="86">
        <f t="shared" si="11"/>
        <v>19</v>
      </c>
      <c r="AA45" s="86">
        <f t="shared" si="11"/>
        <v>20</v>
      </c>
      <c r="AB45" s="86">
        <f t="shared" si="11"/>
        <v>21</v>
      </c>
      <c r="AC45" s="86">
        <f t="shared" si="11"/>
        <v>22</v>
      </c>
      <c r="AD45" s="86">
        <f t="shared" si="11"/>
        <v>23</v>
      </c>
      <c r="AE45" s="72"/>
      <c r="AF45" s="72"/>
      <c r="AG45" s="72"/>
    </row>
    <row r="46" spans="1:33" ht="14.25" customHeight="1">
      <c r="A46" s="72"/>
      <c r="B46" s="72"/>
      <c r="C46" s="72"/>
      <c r="D46" s="72"/>
      <c r="E46" s="92" t="s">
        <v>397</v>
      </c>
      <c r="F46" s="94"/>
      <c r="G46" s="94"/>
      <c r="H46" s="94"/>
      <c r="I46" s="94"/>
      <c r="J46" s="94"/>
      <c r="K46" s="94"/>
      <c r="L46" s="95"/>
      <c r="M46" s="83"/>
      <c r="N46" s="92" t="s">
        <v>397</v>
      </c>
      <c r="O46" s="104"/>
      <c r="P46" s="104"/>
      <c r="Q46" s="104"/>
      <c r="R46" s="94"/>
      <c r="S46" s="94"/>
      <c r="T46" s="94"/>
      <c r="U46" s="95"/>
      <c r="V46" s="80"/>
      <c r="W46" s="92" t="s">
        <v>397</v>
      </c>
      <c r="X46" s="93"/>
      <c r="Y46" s="116"/>
      <c r="Z46" s="97"/>
      <c r="AA46" s="94"/>
      <c r="AB46" s="94"/>
      <c r="AC46" s="94"/>
      <c r="AD46" s="95"/>
      <c r="AE46" s="72"/>
      <c r="AF46" s="72"/>
      <c r="AG46" s="72"/>
    </row>
    <row r="47" spans="1:33" ht="14.25" customHeight="1">
      <c r="A47" s="72"/>
      <c r="B47" s="72"/>
      <c r="C47" s="72"/>
      <c r="D47" s="72"/>
      <c r="E47" s="99" t="s">
        <v>82</v>
      </c>
      <c r="F47" s="101"/>
      <c r="G47" s="101"/>
      <c r="H47" s="101"/>
      <c r="I47" s="101"/>
      <c r="J47" s="101"/>
      <c r="K47" s="101"/>
      <c r="L47" s="102"/>
      <c r="M47" s="83"/>
      <c r="N47" s="99" t="s">
        <v>82</v>
      </c>
      <c r="O47" s="113"/>
      <c r="P47" s="114"/>
      <c r="Q47" s="104"/>
      <c r="R47" s="101"/>
      <c r="S47" s="101"/>
      <c r="T47" s="101"/>
      <c r="U47" s="102"/>
      <c r="V47" s="80"/>
      <c r="W47" s="99" t="s">
        <v>82</v>
      </c>
      <c r="X47" s="100"/>
      <c r="Y47" s="101"/>
      <c r="Z47" s="101"/>
      <c r="AA47" s="101"/>
      <c r="AB47" s="101"/>
      <c r="AC47" s="101"/>
      <c r="AD47" s="102"/>
      <c r="AE47" s="72"/>
      <c r="AF47" s="72"/>
      <c r="AG47" s="72"/>
    </row>
    <row r="48" spans="1:33" ht="14.25" customHeight="1">
      <c r="A48" s="72"/>
      <c r="B48" s="72"/>
      <c r="C48" s="72"/>
      <c r="D48" s="72"/>
      <c r="E48" s="99" t="s">
        <v>92</v>
      </c>
      <c r="F48" s="101"/>
      <c r="G48" s="101"/>
      <c r="H48" s="101"/>
      <c r="I48" s="101"/>
      <c r="J48" s="101"/>
      <c r="K48" s="101"/>
      <c r="L48" s="102"/>
      <c r="M48" s="83"/>
      <c r="N48" s="99" t="s">
        <v>92</v>
      </c>
      <c r="O48" s="113"/>
      <c r="P48" s="114"/>
      <c r="Q48" s="104"/>
      <c r="R48" s="101"/>
      <c r="S48" s="101"/>
      <c r="T48" s="101"/>
      <c r="U48" s="102"/>
      <c r="V48" s="80"/>
      <c r="W48" s="99" t="s">
        <v>92</v>
      </c>
      <c r="X48" s="100"/>
      <c r="Y48" s="101"/>
      <c r="Z48" s="101"/>
      <c r="AA48" s="101"/>
      <c r="AB48" s="101"/>
      <c r="AC48" s="101"/>
      <c r="AD48" s="102"/>
      <c r="AE48" s="72"/>
      <c r="AF48" s="72"/>
      <c r="AG48" s="72"/>
    </row>
    <row r="49" spans="1:33" ht="14.25" customHeight="1">
      <c r="A49" s="72"/>
      <c r="B49" s="72"/>
      <c r="C49" s="72"/>
      <c r="D49" s="72"/>
      <c r="E49" s="105" t="s">
        <v>98</v>
      </c>
      <c r="F49" s="101"/>
      <c r="G49" s="101"/>
      <c r="H49" s="101"/>
      <c r="I49" s="101"/>
      <c r="J49" s="101"/>
      <c r="K49" s="101"/>
      <c r="L49" s="102"/>
      <c r="M49" s="83"/>
      <c r="N49" s="105" t="s">
        <v>98</v>
      </c>
      <c r="O49" s="113"/>
      <c r="P49" s="114"/>
      <c r="Q49" s="104"/>
      <c r="R49" s="101"/>
      <c r="S49" s="101"/>
      <c r="T49" s="101"/>
      <c r="U49" s="102"/>
      <c r="V49" s="80"/>
      <c r="W49" s="105" t="s">
        <v>98</v>
      </c>
      <c r="X49" s="100"/>
      <c r="Y49" s="101"/>
      <c r="Z49" s="101"/>
      <c r="AA49" s="101"/>
      <c r="AB49" s="101"/>
      <c r="AC49" s="101"/>
      <c r="AD49" s="102"/>
      <c r="AE49" s="72"/>
      <c r="AF49" s="72"/>
      <c r="AG49" s="72"/>
    </row>
    <row r="50" spans="1:33" ht="14.25" customHeight="1">
      <c r="A50" s="72"/>
      <c r="B50" s="72"/>
      <c r="C50" s="72"/>
      <c r="D50" s="72"/>
      <c r="E50" s="105" t="s">
        <v>104</v>
      </c>
      <c r="F50" s="101"/>
      <c r="G50" s="101"/>
      <c r="H50" s="101"/>
      <c r="I50" s="101"/>
      <c r="J50" s="101"/>
      <c r="K50" s="101"/>
      <c r="L50" s="102"/>
      <c r="M50" s="83"/>
      <c r="N50" s="105" t="s">
        <v>104</v>
      </c>
      <c r="O50" s="113"/>
      <c r="P50" s="114"/>
      <c r="Q50" s="104"/>
      <c r="R50" s="101"/>
      <c r="S50" s="101"/>
      <c r="T50" s="101"/>
      <c r="U50" s="102"/>
      <c r="V50" s="80"/>
      <c r="W50" s="105" t="s">
        <v>104</v>
      </c>
      <c r="X50" s="100"/>
      <c r="Y50" s="101"/>
      <c r="Z50" s="101"/>
      <c r="AA50" s="101"/>
      <c r="AB50" s="101"/>
      <c r="AC50" s="101"/>
      <c r="AD50" s="102"/>
      <c r="AE50" s="72"/>
      <c r="AF50" s="72"/>
      <c r="AG50" s="72"/>
    </row>
    <row r="51" spans="1:33" ht="14.25" customHeight="1">
      <c r="A51" s="72"/>
      <c r="B51" s="72"/>
      <c r="C51" s="72"/>
      <c r="D51" s="72"/>
      <c r="E51" s="106" t="s">
        <v>46</v>
      </c>
      <c r="F51" s="101"/>
      <c r="G51" s="101"/>
      <c r="H51" s="101"/>
      <c r="I51" s="101"/>
      <c r="J51" s="101"/>
      <c r="K51" s="101"/>
      <c r="L51" s="102"/>
      <c r="M51" s="83"/>
      <c r="N51" s="106" t="s">
        <v>46</v>
      </c>
      <c r="O51" s="101"/>
      <c r="P51" s="101"/>
      <c r="Q51" s="101"/>
      <c r="R51" s="101"/>
      <c r="S51" s="101"/>
      <c r="T51" s="115"/>
      <c r="U51" s="115"/>
      <c r="V51" s="80"/>
      <c r="W51" s="106" t="s">
        <v>46</v>
      </c>
      <c r="X51" s="100"/>
      <c r="Y51" s="101"/>
      <c r="Z51" s="101"/>
      <c r="AA51" s="101"/>
      <c r="AB51" s="101"/>
      <c r="AC51" s="101"/>
      <c r="AD51" s="102"/>
      <c r="AE51" s="72"/>
      <c r="AF51" s="72"/>
      <c r="AG51" s="72"/>
    </row>
    <row r="52" spans="1:33" ht="14.25" customHeight="1">
      <c r="A52" s="72"/>
      <c r="B52" s="72"/>
      <c r="C52" s="72"/>
      <c r="D52" s="72"/>
      <c r="E52" s="106" t="s">
        <v>19</v>
      </c>
      <c r="F52" s="101"/>
      <c r="G52" s="101"/>
      <c r="H52" s="101"/>
      <c r="I52" s="101"/>
      <c r="J52" s="101"/>
      <c r="K52" s="107"/>
      <c r="L52" s="107"/>
      <c r="M52" s="83"/>
      <c r="N52" s="106" t="s">
        <v>19</v>
      </c>
      <c r="O52" s="101"/>
      <c r="P52" s="101"/>
      <c r="Q52" s="101"/>
      <c r="R52" s="101"/>
      <c r="S52" s="101"/>
      <c r="T52" s="115"/>
      <c r="U52" s="115"/>
      <c r="V52" s="80"/>
      <c r="W52" s="106" t="s">
        <v>19</v>
      </c>
      <c r="X52" s="100"/>
      <c r="Y52" s="101"/>
      <c r="Z52" s="101"/>
      <c r="AA52" s="101"/>
      <c r="AB52" s="101"/>
      <c r="AC52" s="101"/>
      <c r="AD52" s="102"/>
      <c r="AE52" s="72"/>
      <c r="AF52" s="72"/>
      <c r="AG52" s="72"/>
    </row>
    <row r="53" spans="1:33" ht="14.25" customHeight="1">
      <c r="A53" s="72"/>
      <c r="B53" s="72"/>
      <c r="C53" s="72"/>
      <c r="D53" s="72"/>
      <c r="E53" s="106" t="s">
        <v>25</v>
      </c>
      <c r="F53" s="101"/>
      <c r="G53" s="101"/>
      <c r="H53" s="101"/>
      <c r="I53" s="101"/>
      <c r="J53" s="101"/>
      <c r="K53" s="107"/>
      <c r="L53" s="107"/>
      <c r="M53" s="83"/>
      <c r="N53" s="106" t="s">
        <v>25</v>
      </c>
      <c r="O53" s="101"/>
      <c r="P53" s="101"/>
      <c r="Q53" s="101"/>
      <c r="R53" s="101"/>
      <c r="S53" s="101"/>
      <c r="T53" s="115"/>
      <c r="U53" s="115"/>
      <c r="V53" s="80"/>
      <c r="W53" s="106" t="s">
        <v>25</v>
      </c>
      <c r="X53" s="100"/>
      <c r="Y53" s="101"/>
      <c r="Z53" s="101"/>
      <c r="AA53" s="101"/>
      <c r="AB53" s="101"/>
      <c r="AC53" s="101"/>
      <c r="AD53" s="102"/>
      <c r="AE53" s="72"/>
      <c r="AF53" s="72"/>
      <c r="AG53" s="72"/>
    </row>
    <row r="54" spans="1:33" ht="14.25" customHeight="1">
      <c r="A54" s="72"/>
      <c r="B54" s="72"/>
      <c r="C54" s="72"/>
      <c r="D54" s="72"/>
      <c r="E54" s="108" t="s">
        <v>31</v>
      </c>
      <c r="F54" s="101"/>
      <c r="G54" s="101"/>
      <c r="H54" s="101"/>
      <c r="I54" s="101"/>
      <c r="J54" s="101"/>
      <c r="K54" s="107"/>
      <c r="L54" s="107"/>
      <c r="M54" s="83"/>
      <c r="N54" s="108" t="s">
        <v>31</v>
      </c>
      <c r="O54" s="101"/>
      <c r="P54" s="101"/>
      <c r="Q54" s="101"/>
      <c r="R54" s="101"/>
      <c r="S54" s="101"/>
      <c r="T54" s="115"/>
      <c r="U54" s="115"/>
      <c r="V54" s="80"/>
      <c r="W54" s="108" t="s">
        <v>31</v>
      </c>
      <c r="X54" s="100"/>
      <c r="Y54" s="101"/>
      <c r="Z54" s="101"/>
      <c r="AA54" s="101"/>
      <c r="AB54" s="101"/>
      <c r="AC54" s="101"/>
      <c r="AD54" s="102"/>
      <c r="AE54" s="72"/>
      <c r="AF54" s="72"/>
      <c r="AG54" s="72"/>
    </row>
    <row r="55" spans="1:33" ht="14.25" customHeight="1">
      <c r="A55" s="72"/>
      <c r="B55" s="72"/>
      <c r="C55" s="72"/>
      <c r="D55" s="72"/>
      <c r="E55" s="108" t="s">
        <v>26</v>
      </c>
      <c r="F55" s="101"/>
      <c r="G55" s="101"/>
      <c r="H55" s="101"/>
      <c r="I55" s="101"/>
      <c r="J55" s="101"/>
      <c r="K55" s="107"/>
      <c r="L55" s="107"/>
      <c r="M55" s="83"/>
      <c r="N55" s="108" t="s">
        <v>26</v>
      </c>
      <c r="O55" s="101"/>
      <c r="P55" s="101"/>
      <c r="Q55" s="101"/>
      <c r="R55" s="101"/>
      <c r="S55" s="101"/>
      <c r="T55" s="115"/>
      <c r="U55" s="115"/>
      <c r="V55" s="80"/>
      <c r="W55" s="108" t="s">
        <v>26</v>
      </c>
      <c r="X55" s="100"/>
      <c r="Y55" s="101"/>
      <c r="Z55" s="101"/>
      <c r="AA55" s="101"/>
      <c r="AB55" s="101"/>
      <c r="AC55" s="101"/>
      <c r="AD55" s="102"/>
      <c r="AE55" s="72"/>
      <c r="AF55" s="72"/>
      <c r="AG55" s="72"/>
    </row>
    <row r="56" spans="1:33" ht="14.25" customHeight="1">
      <c r="A56" s="72"/>
      <c r="B56" s="72"/>
      <c r="C56" s="72"/>
      <c r="D56" s="72"/>
      <c r="E56" s="109" t="s">
        <v>28</v>
      </c>
      <c r="F56" s="111"/>
      <c r="G56" s="111"/>
      <c r="H56" s="111"/>
      <c r="I56" s="111"/>
      <c r="J56" s="111"/>
      <c r="K56" s="107"/>
      <c r="L56" s="107"/>
      <c r="M56" s="83"/>
      <c r="N56" s="109" t="s">
        <v>28</v>
      </c>
      <c r="O56" s="111"/>
      <c r="P56" s="111"/>
      <c r="Q56" s="111"/>
      <c r="R56" s="111"/>
      <c r="S56" s="111"/>
      <c r="T56" s="115"/>
      <c r="U56" s="115"/>
      <c r="V56" s="80"/>
      <c r="W56" s="109" t="s">
        <v>28</v>
      </c>
      <c r="X56" s="110"/>
      <c r="Y56" s="111"/>
      <c r="Z56" s="111"/>
      <c r="AA56" s="111"/>
      <c r="AB56" s="111"/>
      <c r="AC56" s="101"/>
      <c r="AD56" s="102"/>
      <c r="AE56" s="72"/>
      <c r="AF56" s="72"/>
      <c r="AG56" s="72"/>
    </row>
    <row r="57" spans="1:33" ht="14.25" customHeight="1">
      <c r="A57" s="72"/>
      <c r="B57" s="72"/>
      <c r="C57" s="72"/>
      <c r="D57" s="72"/>
      <c r="E57" s="72"/>
      <c r="F57" s="117">
        <f>L45+1</f>
        <v>29</v>
      </c>
      <c r="G57" s="117">
        <f>F57+1</f>
        <v>30</v>
      </c>
      <c r="H57" s="117"/>
      <c r="I57" s="117"/>
      <c r="J57" s="117"/>
      <c r="K57" s="117"/>
      <c r="L57" s="117"/>
      <c r="M57" s="89"/>
      <c r="N57" s="72"/>
      <c r="O57" s="117">
        <f>U45+1</f>
        <v>27</v>
      </c>
      <c r="P57" s="117">
        <f t="shared" ref="P57:S57" si="12">O57+1</f>
        <v>28</v>
      </c>
      <c r="Q57" s="117">
        <f t="shared" si="12"/>
        <v>29</v>
      </c>
      <c r="R57" s="117">
        <f t="shared" si="12"/>
        <v>30</v>
      </c>
      <c r="S57" s="117">
        <f t="shared" si="12"/>
        <v>31</v>
      </c>
      <c r="T57" s="117"/>
      <c r="U57" s="117"/>
      <c r="V57" s="79"/>
      <c r="W57" s="72"/>
      <c r="X57" s="86">
        <f>AD45+1</f>
        <v>24</v>
      </c>
      <c r="Y57" s="86">
        <f t="shared" ref="Y57:AD57" si="13">X57+1</f>
        <v>25</v>
      </c>
      <c r="Z57" s="86">
        <f t="shared" si="13"/>
        <v>26</v>
      </c>
      <c r="AA57" s="86">
        <f t="shared" si="13"/>
        <v>27</v>
      </c>
      <c r="AB57" s="86">
        <f t="shared" si="13"/>
        <v>28</v>
      </c>
      <c r="AC57" s="86">
        <f t="shared" si="13"/>
        <v>29</v>
      </c>
      <c r="AD57" s="86">
        <f t="shared" si="13"/>
        <v>30</v>
      </c>
      <c r="AE57" s="72"/>
      <c r="AF57" s="72"/>
      <c r="AG57" s="72"/>
    </row>
    <row r="58" spans="1:33" ht="14.25" customHeight="1">
      <c r="A58" s="72"/>
      <c r="B58" s="72"/>
      <c r="C58" s="72"/>
      <c r="D58" s="72"/>
      <c r="E58" s="118" t="s">
        <v>397</v>
      </c>
      <c r="F58" s="113"/>
      <c r="G58" s="113"/>
      <c r="H58" s="103"/>
      <c r="I58" s="103"/>
      <c r="J58" s="103"/>
      <c r="K58" s="103"/>
      <c r="L58" s="103"/>
      <c r="M58" s="83"/>
      <c r="N58" s="92" t="s">
        <v>397</v>
      </c>
      <c r="O58" s="113"/>
      <c r="P58" s="113"/>
      <c r="Q58" s="114"/>
      <c r="R58" s="114"/>
      <c r="S58" s="101"/>
      <c r="T58" s="103"/>
      <c r="U58" s="103"/>
      <c r="V58" s="80"/>
      <c r="W58" s="92" t="s">
        <v>397</v>
      </c>
      <c r="X58" s="94"/>
      <c r="Y58" s="93"/>
      <c r="Z58" s="263" t="s">
        <v>512</v>
      </c>
      <c r="AA58" s="94"/>
      <c r="AB58" s="94"/>
      <c r="AC58" s="94"/>
      <c r="AD58" s="95"/>
      <c r="AE58" s="72"/>
      <c r="AF58" s="72"/>
      <c r="AG58" s="72"/>
    </row>
    <row r="59" spans="1:33" ht="14.25" customHeight="1">
      <c r="A59" s="72"/>
      <c r="B59" s="72"/>
      <c r="C59" s="72"/>
      <c r="D59" s="72"/>
      <c r="E59" s="119" t="s">
        <v>82</v>
      </c>
      <c r="F59" s="113"/>
      <c r="G59" s="114"/>
      <c r="H59" s="103"/>
      <c r="I59" s="103"/>
      <c r="J59" s="103"/>
      <c r="K59" s="103"/>
      <c r="L59" s="103"/>
      <c r="M59" s="83"/>
      <c r="N59" s="99" t="s">
        <v>82</v>
      </c>
      <c r="O59" s="113"/>
      <c r="P59" s="114"/>
      <c r="Q59" s="104"/>
      <c r="R59" s="101"/>
      <c r="S59" s="101"/>
      <c r="T59" s="103"/>
      <c r="U59" s="103"/>
      <c r="V59" s="80"/>
      <c r="W59" s="99" t="s">
        <v>82</v>
      </c>
      <c r="X59" s="101"/>
      <c r="Y59" s="100"/>
      <c r="Z59" s="264"/>
      <c r="AA59" s="101"/>
      <c r="AB59" s="101"/>
      <c r="AC59" s="101"/>
      <c r="AD59" s="102"/>
      <c r="AE59" s="72"/>
      <c r="AF59" s="72"/>
      <c r="AG59" s="72"/>
    </row>
    <row r="60" spans="1:33" ht="14.25" customHeight="1">
      <c r="A60" s="72"/>
      <c r="B60" s="72"/>
      <c r="C60" s="72"/>
      <c r="D60" s="72"/>
      <c r="E60" s="119" t="s">
        <v>92</v>
      </c>
      <c r="F60" s="113"/>
      <c r="G60" s="114"/>
      <c r="H60" s="103"/>
      <c r="I60" s="103"/>
      <c r="J60" s="103"/>
      <c r="K60" s="103"/>
      <c r="L60" s="103"/>
      <c r="M60" s="83"/>
      <c r="N60" s="99" t="s">
        <v>92</v>
      </c>
      <c r="O60" s="113"/>
      <c r="P60" s="114"/>
      <c r="Q60" s="104"/>
      <c r="R60" s="101"/>
      <c r="S60" s="101"/>
      <c r="T60" s="103"/>
      <c r="U60" s="103"/>
      <c r="V60" s="80"/>
      <c r="W60" s="99" t="s">
        <v>92</v>
      </c>
      <c r="X60" s="101"/>
      <c r="Y60" s="100"/>
      <c r="Z60" s="264"/>
      <c r="AA60" s="101"/>
      <c r="AB60" s="101"/>
      <c r="AC60" s="101"/>
      <c r="AD60" s="102"/>
      <c r="AE60" s="72"/>
      <c r="AF60" s="72"/>
      <c r="AG60" s="72"/>
    </row>
    <row r="61" spans="1:33" ht="14.25" customHeight="1">
      <c r="A61" s="72"/>
      <c r="B61" s="72"/>
      <c r="C61" s="72"/>
      <c r="D61" s="72"/>
      <c r="E61" s="120" t="s">
        <v>98</v>
      </c>
      <c r="F61" s="113"/>
      <c r="G61" s="114"/>
      <c r="H61" s="103"/>
      <c r="I61" s="103"/>
      <c r="J61" s="103"/>
      <c r="K61" s="103"/>
      <c r="L61" s="103"/>
      <c r="M61" s="83"/>
      <c r="N61" s="105" t="s">
        <v>98</v>
      </c>
      <c r="O61" s="113"/>
      <c r="P61" s="114"/>
      <c r="Q61" s="104"/>
      <c r="R61" s="101"/>
      <c r="S61" s="101"/>
      <c r="T61" s="103"/>
      <c r="U61" s="103"/>
      <c r="V61" s="80"/>
      <c r="W61" s="105" t="s">
        <v>98</v>
      </c>
      <c r="X61" s="101"/>
      <c r="Y61" s="100"/>
      <c r="Z61" s="264"/>
      <c r="AA61" s="101"/>
      <c r="AB61" s="101"/>
      <c r="AC61" s="101"/>
      <c r="AD61" s="102"/>
      <c r="AE61" s="72"/>
      <c r="AF61" s="72"/>
      <c r="AG61" s="72"/>
    </row>
    <row r="62" spans="1:33" ht="14.25" customHeight="1">
      <c r="A62" s="72"/>
      <c r="B62" s="72"/>
      <c r="C62" s="72"/>
      <c r="D62" s="72"/>
      <c r="E62" s="120" t="s">
        <v>104</v>
      </c>
      <c r="F62" s="113"/>
      <c r="G62" s="114"/>
      <c r="H62" s="103"/>
      <c r="I62" s="103"/>
      <c r="J62" s="103"/>
      <c r="K62" s="103"/>
      <c r="L62" s="103"/>
      <c r="M62" s="83"/>
      <c r="N62" s="105" t="s">
        <v>104</v>
      </c>
      <c r="O62" s="113"/>
      <c r="P62" s="114"/>
      <c r="Q62" s="104"/>
      <c r="R62" s="101"/>
      <c r="S62" s="101"/>
      <c r="T62" s="103"/>
      <c r="U62" s="103"/>
      <c r="V62" s="80"/>
      <c r="W62" s="105" t="s">
        <v>104</v>
      </c>
      <c r="X62" s="101"/>
      <c r="Y62" s="100"/>
      <c r="Z62" s="264"/>
      <c r="AA62" s="101"/>
      <c r="AB62" s="101"/>
      <c r="AC62" s="101"/>
      <c r="AD62" s="102"/>
      <c r="AE62" s="72"/>
      <c r="AF62" s="72"/>
      <c r="AG62" s="72"/>
    </row>
    <row r="63" spans="1:33" ht="14.25" customHeight="1">
      <c r="A63" s="72"/>
      <c r="B63" s="72"/>
      <c r="C63" s="72"/>
      <c r="D63" s="72"/>
      <c r="E63" s="121" t="s">
        <v>46</v>
      </c>
      <c r="F63" s="101"/>
      <c r="G63" s="101"/>
      <c r="H63" s="103"/>
      <c r="I63" s="103"/>
      <c r="J63" s="103"/>
      <c r="K63" s="103"/>
      <c r="L63" s="103"/>
      <c r="M63" s="83"/>
      <c r="N63" s="106" t="s">
        <v>46</v>
      </c>
      <c r="O63" s="101"/>
      <c r="P63" s="101"/>
      <c r="Q63" s="101"/>
      <c r="R63" s="101"/>
      <c r="S63" s="101"/>
      <c r="T63" s="103"/>
      <c r="U63" s="103"/>
      <c r="V63" s="80"/>
      <c r="W63" s="106" t="s">
        <v>46</v>
      </c>
      <c r="X63" s="101"/>
      <c r="Y63" s="100"/>
      <c r="Z63" s="264"/>
      <c r="AA63" s="101"/>
      <c r="AB63" s="101"/>
      <c r="AC63" s="101"/>
      <c r="AD63" s="102"/>
      <c r="AE63" s="72"/>
      <c r="AF63" s="72"/>
      <c r="AG63" s="72"/>
    </row>
    <row r="64" spans="1:33" ht="14.25" customHeight="1">
      <c r="A64" s="72"/>
      <c r="B64" s="72"/>
      <c r="C64" s="72"/>
      <c r="D64" s="72"/>
      <c r="E64" s="106" t="s">
        <v>19</v>
      </c>
      <c r="F64" s="101"/>
      <c r="G64" s="101"/>
      <c r="H64" s="103"/>
      <c r="I64" s="103"/>
      <c r="J64" s="103"/>
      <c r="K64" s="103"/>
      <c r="L64" s="103"/>
      <c r="M64" s="83"/>
      <c r="N64" s="106" t="s">
        <v>19</v>
      </c>
      <c r="O64" s="101"/>
      <c r="P64" s="101"/>
      <c r="Q64" s="101"/>
      <c r="R64" s="101"/>
      <c r="S64" s="101"/>
      <c r="T64" s="103"/>
      <c r="U64" s="103"/>
      <c r="V64" s="80"/>
      <c r="W64" s="106" t="s">
        <v>19</v>
      </c>
      <c r="X64" s="101"/>
      <c r="Y64" s="100"/>
      <c r="Z64" s="264"/>
      <c r="AA64" s="101"/>
      <c r="AB64" s="101"/>
      <c r="AC64" s="101"/>
      <c r="AD64" s="102"/>
      <c r="AE64" s="72"/>
      <c r="AF64" s="72"/>
      <c r="AG64" s="72"/>
    </row>
    <row r="65" spans="1:33" ht="14.25" customHeight="1">
      <c r="A65" s="72"/>
      <c r="B65" s="72"/>
      <c r="C65" s="72"/>
      <c r="D65" s="72"/>
      <c r="E65" s="106" t="s">
        <v>25</v>
      </c>
      <c r="F65" s="101"/>
      <c r="G65" s="101"/>
      <c r="H65" s="103"/>
      <c r="I65" s="103"/>
      <c r="J65" s="103"/>
      <c r="K65" s="103"/>
      <c r="L65" s="103"/>
      <c r="M65" s="83"/>
      <c r="N65" s="106" t="s">
        <v>25</v>
      </c>
      <c r="O65" s="101"/>
      <c r="P65" s="101"/>
      <c r="Q65" s="101"/>
      <c r="R65" s="101"/>
      <c r="S65" s="101"/>
      <c r="T65" s="103"/>
      <c r="U65" s="103"/>
      <c r="V65" s="80"/>
      <c r="W65" s="106" t="s">
        <v>25</v>
      </c>
      <c r="X65" s="101"/>
      <c r="Y65" s="100"/>
      <c r="Z65" s="264"/>
      <c r="AA65" s="101"/>
      <c r="AB65" s="101"/>
      <c r="AC65" s="101"/>
      <c r="AD65" s="102"/>
      <c r="AE65" s="72"/>
      <c r="AF65" s="72"/>
      <c r="AG65" s="72"/>
    </row>
    <row r="66" spans="1:33" ht="14.25" customHeight="1">
      <c r="A66" s="72"/>
      <c r="B66" s="72"/>
      <c r="C66" s="72"/>
      <c r="D66" s="72"/>
      <c r="E66" s="122" t="s">
        <v>31</v>
      </c>
      <c r="F66" s="101"/>
      <c r="G66" s="101"/>
      <c r="H66" s="103"/>
      <c r="I66" s="103"/>
      <c r="J66" s="103"/>
      <c r="K66" s="103"/>
      <c r="L66" s="103"/>
      <c r="M66" s="83"/>
      <c r="N66" s="108" t="s">
        <v>31</v>
      </c>
      <c r="O66" s="101"/>
      <c r="P66" s="101"/>
      <c r="Q66" s="101"/>
      <c r="R66" s="101"/>
      <c r="S66" s="101"/>
      <c r="T66" s="103"/>
      <c r="U66" s="103"/>
      <c r="V66" s="80"/>
      <c r="W66" s="108" t="s">
        <v>31</v>
      </c>
      <c r="X66" s="101"/>
      <c r="Y66" s="100"/>
      <c r="Z66" s="264"/>
      <c r="AA66" s="101"/>
      <c r="AB66" s="101"/>
      <c r="AC66" s="101"/>
      <c r="AD66" s="102"/>
      <c r="AE66" s="72"/>
      <c r="AF66" s="72"/>
      <c r="AG66" s="72"/>
    </row>
    <row r="67" spans="1:33" ht="14.25" customHeight="1">
      <c r="A67" s="72"/>
      <c r="B67" s="72"/>
      <c r="C67" s="72"/>
      <c r="D67" s="72"/>
      <c r="E67" s="122" t="s">
        <v>26</v>
      </c>
      <c r="F67" s="101"/>
      <c r="G67" s="101"/>
      <c r="H67" s="103"/>
      <c r="I67" s="103"/>
      <c r="J67" s="103"/>
      <c r="K67" s="103"/>
      <c r="L67" s="103"/>
      <c r="M67" s="83"/>
      <c r="N67" s="108" t="s">
        <v>26</v>
      </c>
      <c r="O67" s="101"/>
      <c r="P67" s="101"/>
      <c r="Q67" s="101"/>
      <c r="R67" s="101"/>
      <c r="S67" s="101"/>
      <c r="T67" s="103"/>
      <c r="U67" s="103"/>
      <c r="V67" s="80"/>
      <c r="W67" s="108" t="s">
        <v>26</v>
      </c>
      <c r="X67" s="101"/>
      <c r="Y67" s="100"/>
      <c r="Z67" s="264"/>
      <c r="AA67" s="101"/>
      <c r="AB67" s="101"/>
      <c r="AC67" s="101"/>
      <c r="AD67" s="102"/>
      <c r="AE67" s="72"/>
      <c r="AF67" s="72"/>
      <c r="AG67" s="72"/>
    </row>
    <row r="68" spans="1:33" ht="14.25" customHeight="1">
      <c r="A68" s="72"/>
      <c r="B68" s="72"/>
      <c r="C68" s="72"/>
      <c r="D68" s="72"/>
      <c r="E68" s="123" t="s">
        <v>28</v>
      </c>
      <c r="F68" s="101"/>
      <c r="G68" s="101"/>
      <c r="H68" s="103"/>
      <c r="I68" s="103"/>
      <c r="J68" s="103"/>
      <c r="K68" s="103"/>
      <c r="L68" s="103"/>
      <c r="M68" s="83"/>
      <c r="N68" s="109" t="s">
        <v>28</v>
      </c>
      <c r="O68" s="101"/>
      <c r="P68" s="101"/>
      <c r="Q68" s="101"/>
      <c r="R68" s="101"/>
      <c r="S68" s="101"/>
      <c r="T68" s="103"/>
      <c r="U68" s="103"/>
      <c r="V68" s="80"/>
      <c r="W68" s="109" t="s">
        <v>28</v>
      </c>
      <c r="X68" s="111"/>
      <c r="Y68" s="110"/>
      <c r="Z68" s="265"/>
      <c r="AA68" s="111"/>
      <c r="AB68" s="111"/>
      <c r="AC68" s="101"/>
      <c r="AD68" s="102"/>
      <c r="AE68" s="72"/>
      <c r="AF68" s="72"/>
      <c r="AG68" s="72"/>
    </row>
    <row r="69" spans="1:33" ht="14.2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117">
        <f>AD57+1</f>
        <v>31</v>
      </c>
      <c r="Y69" s="117"/>
      <c r="Z69" s="117"/>
      <c r="AA69" s="117"/>
      <c r="AB69" s="117"/>
      <c r="AC69" s="117"/>
      <c r="AD69" s="86"/>
      <c r="AE69" s="72"/>
      <c r="AF69" s="72"/>
      <c r="AG69" s="72"/>
    </row>
    <row r="70" spans="1:33" ht="14.2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118" t="s">
        <v>397</v>
      </c>
      <c r="X70" s="101"/>
      <c r="Y70" s="103"/>
      <c r="Z70" s="103"/>
      <c r="AA70" s="103"/>
      <c r="AB70" s="103"/>
      <c r="AC70" s="103"/>
      <c r="AD70" s="124"/>
      <c r="AE70" s="72"/>
      <c r="AF70" s="72"/>
      <c r="AG70" s="72"/>
    </row>
    <row r="71" spans="1:33" ht="14.2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119" t="s">
        <v>82</v>
      </c>
      <c r="X71" s="101"/>
      <c r="Y71" s="103"/>
      <c r="Z71" s="103"/>
      <c r="AA71" s="103"/>
      <c r="AB71" s="103"/>
      <c r="AC71" s="103"/>
      <c r="AD71" s="125"/>
      <c r="AE71" s="72"/>
      <c r="AF71" s="72"/>
      <c r="AG71" s="72"/>
    </row>
    <row r="72" spans="1:33" ht="14.2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119" t="s">
        <v>92</v>
      </c>
      <c r="X72" s="101"/>
      <c r="Y72" s="103"/>
      <c r="Z72" s="103"/>
      <c r="AA72" s="103"/>
      <c r="AB72" s="103"/>
      <c r="AC72" s="103"/>
      <c r="AD72" s="125"/>
      <c r="AE72" s="72"/>
      <c r="AF72" s="72"/>
      <c r="AG72" s="72"/>
    </row>
    <row r="73" spans="1:33" ht="14.2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120" t="s">
        <v>98</v>
      </c>
      <c r="X73" s="101"/>
      <c r="Y73" s="103"/>
      <c r="Z73" s="103"/>
      <c r="AA73" s="103"/>
      <c r="AB73" s="103"/>
      <c r="AC73" s="103"/>
      <c r="AD73" s="125"/>
      <c r="AE73" s="72"/>
      <c r="AF73" s="72"/>
      <c r="AG73" s="72"/>
    </row>
    <row r="74" spans="1:33" ht="14.2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120" t="s">
        <v>104</v>
      </c>
      <c r="X74" s="101"/>
      <c r="Y74" s="103"/>
      <c r="Z74" s="103"/>
      <c r="AA74" s="103"/>
      <c r="AB74" s="103"/>
      <c r="AC74" s="103"/>
      <c r="AD74" s="125"/>
      <c r="AE74" s="72"/>
      <c r="AF74" s="72"/>
      <c r="AG74" s="72"/>
    </row>
    <row r="75" spans="1:33" ht="14.2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121" t="s">
        <v>46</v>
      </c>
      <c r="X75" s="101"/>
      <c r="Y75" s="103"/>
      <c r="Z75" s="103"/>
      <c r="AA75" s="103"/>
      <c r="AB75" s="103"/>
      <c r="AC75" s="103"/>
      <c r="AD75" s="125"/>
      <c r="AE75" s="72"/>
      <c r="AF75" s="72"/>
      <c r="AG75" s="72"/>
    </row>
    <row r="76" spans="1:33" ht="14.2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106" t="s">
        <v>19</v>
      </c>
      <c r="X76" s="101"/>
      <c r="Y76" s="103"/>
      <c r="Z76" s="103"/>
      <c r="AA76" s="103"/>
      <c r="AB76" s="103"/>
      <c r="AC76" s="103"/>
      <c r="AD76" s="125"/>
      <c r="AE76" s="72"/>
      <c r="AF76" s="72"/>
      <c r="AG76" s="72"/>
    </row>
    <row r="77" spans="1:33" ht="14.2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106" t="s">
        <v>25</v>
      </c>
      <c r="X77" s="101"/>
      <c r="Y77" s="103"/>
      <c r="Z77" s="103"/>
      <c r="AA77" s="103"/>
      <c r="AB77" s="103"/>
      <c r="AC77" s="103"/>
      <c r="AD77" s="125"/>
      <c r="AE77" s="72"/>
      <c r="AF77" s="72"/>
      <c r="AG77" s="72"/>
    </row>
    <row r="78" spans="1:33" ht="14.2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122" t="s">
        <v>31</v>
      </c>
      <c r="X78" s="101"/>
      <c r="Y78" s="103"/>
      <c r="Z78" s="103"/>
      <c r="AA78" s="103"/>
      <c r="AB78" s="103"/>
      <c r="AC78" s="103"/>
      <c r="AD78" s="125"/>
      <c r="AE78" s="72"/>
      <c r="AF78" s="72"/>
      <c r="AG78" s="72"/>
    </row>
    <row r="79" spans="1:33" ht="14.2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122" t="s">
        <v>26</v>
      </c>
      <c r="X79" s="101"/>
      <c r="Y79" s="103"/>
      <c r="Z79" s="103"/>
      <c r="AA79" s="103"/>
      <c r="AB79" s="103"/>
      <c r="AC79" s="103"/>
      <c r="AD79" s="125"/>
      <c r="AE79" s="72"/>
      <c r="AF79" s="72"/>
      <c r="AG79" s="72"/>
    </row>
    <row r="80" spans="1:33" ht="14.2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123" t="s">
        <v>28</v>
      </c>
      <c r="X80" s="101"/>
      <c r="Y80" s="103"/>
      <c r="Z80" s="103"/>
      <c r="AA80" s="103"/>
      <c r="AB80" s="103"/>
      <c r="AC80" s="103"/>
      <c r="AD80" s="125"/>
      <c r="AE80" s="72"/>
      <c r="AF80" s="72"/>
      <c r="AG80" s="72"/>
    </row>
    <row r="81" spans="1:33" ht="14.2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</row>
    <row r="82" spans="1:33" ht="14.2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</row>
    <row r="83" spans="1:33" ht="14.2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</row>
    <row r="84" spans="1:33" ht="14.2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</row>
    <row r="85" spans="1:33" ht="14.2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</row>
    <row r="86" spans="1:33" ht="14.2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</row>
    <row r="87" spans="1:33" ht="14.2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</row>
    <row r="88" spans="1:33" ht="14.2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</row>
    <row r="89" spans="1:33" ht="14.2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</row>
    <row r="90" spans="1:33" ht="14.2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</row>
    <row r="91" spans="1:33" ht="14.2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</row>
    <row r="92" spans="1:33" ht="14.2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</row>
    <row r="93" spans="1:33" ht="14.2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</row>
    <row r="94" spans="1:33" ht="14.2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</row>
    <row r="95" spans="1:33" ht="14.2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</row>
    <row r="96" spans="1:33" ht="14.2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</row>
    <row r="97" spans="1:33" ht="14.2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</row>
    <row r="98" spans="1:33" ht="14.2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</row>
    <row r="99" spans="1:33" ht="14.2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</row>
    <row r="100" spans="1:33" ht="14.2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</row>
    <row r="101" spans="1:33" ht="14.25" customHeight="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</row>
    <row r="102" spans="1:33" ht="14.25" customHeight="1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</row>
    <row r="103" spans="1:33" ht="14.25" customHeight="1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</row>
    <row r="104" spans="1:33" ht="14.25" customHeight="1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</row>
    <row r="105" spans="1:33" ht="14.25" customHeight="1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</row>
    <row r="106" spans="1:33" ht="14.25" customHeight="1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</row>
    <row r="107" spans="1:33" ht="14.25" customHeight="1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</row>
    <row r="108" spans="1:33" ht="14.25" customHeight="1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</row>
    <row r="109" spans="1:33" ht="14.25" customHeight="1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</row>
    <row r="110" spans="1:33" ht="14.25" customHeight="1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</row>
    <row r="111" spans="1:33" ht="14.25" customHeight="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</row>
    <row r="112" spans="1:33" ht="14.25" customHeight="1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</row>
    <row r="113" spans="1:33" ht="14.25" customHeight="1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</row>
    <row r="114" spans="1:33" ht="14.25" customHeight="1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</row>
    <row r="115" spans="1:33" ht="14.25" customHeight="1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</row>
    <row r="116" spans="1:33" ht="14.25" customHeight="1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</row>
    <row r="117" spans="1:33" ht="14.25" customHeight="1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</row>
    <row r="118" spans="1:33" ht="14.25" customHeight="1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</row>
    <row r="119" spans="1:33" ht="14.25" customHeight="1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</row>
    <row r="120" spans="1:33" ht="14.25" customHeight="1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</row>
    <row r="121" spans="1:33" ht="14.25" customHeight="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</row>
    <row r="122" spans="1:33" ht="14.25" customHeight="1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</row>
    <row r="123" spans="1:33" ht="14.25" customHeight="1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</row>
    <row r="124" spans="1:33" ht="14.25" customHeight="1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</row>
    <row r="125" spans="1:33" ht="14.25" customHeight="1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</row>
    <row r="126" spans="1:33" ht="14.25" customHeight="1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</row>
    <row r="127" spans="1:33" ht="14.25" customHeight="1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</row>
    <row r="128" spans="1:33" ht="14.25" customHeight="1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</row>
    <row r="129" spans="1:33" ht="14.25" customHeight="1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</row>
    <row r="130" spans="1:33" ht="14.25" customHeight="1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</row>
    <row r="131" spans="1:33" ht="14.25" customHeight="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</row>
    <row r="132" spans="1:33" ht="14.25" customHeight="1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</row>
    <row r="133" spans="1:33" ht="14.25" customHeight="1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</row>
    <row r="134" spans="1:33" ht="14.25" customHeight="1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</row>
    <row r="135" spans="1:33" ht="14.25" customHeight="1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</row>
    <row r="136" spans="1:33" ht="14.25" customHeight="1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</row>
    <row r="137" spans="1:33" ht="14.25" customHeight="1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</row>
    <row r="138" spans="1:33" ht="14.25" customHeight="1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</row>
    <row r="139" spans="1:33" ht="14.25" customHeight="1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</row>
    <row r="140" spans="1:33" ht="14.25" customHeight="1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</row>
    <row r="141" spans="1:33" ht="14.25" customHeight="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</row>
    <row r="142" spans="1:33" ht="14.25" customHeight="1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</row>
    <row r="143" spans="1:33" ht="14.25" customHeight="1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</row>
    <row r="144" spans="1:33" ht="14.25" customHeight="1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</row>
    <row r="145" spans="1:33" ht="14.25" customHeight="1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</row>
    <row r="146" spans="1:33" ht="14.25" customHeight="1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</row>
    <row r="147" spans="1:33" ht="14.25" customHeight="1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</row>
    <row r="148" spans="1:33" ht="14.25" customHeight="1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</row>
    <row r="149" spans="1:33" ht="14.25" customHeight="1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</row>
    <row r="150" spans="1:33" ht="14.25" customHeight="1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</row>
    <row r="151" spans="1:33" ht="14.25" customHeight="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</row>
    <row r="152" spans="1:33" ht="14.25" customHeight="1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</row>
    <row r="153" spans="1:33" ht="14.25" customHeight="1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</row>
    <row r="154" spans="1:33" ht="14.25" customHeight="1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</row>
    <row r="155" spans="1:33" ht="14.25" customHeight="1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</row>
    <row r="156" spans="1:33" ht="14.25" customHeight="1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</row>
    <row r="157" spans="1:33" ht="14.25" customHeight="1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</row>
    <row r="158" spans="1:33" ht="14.25" customHeight="1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</row>
    <row r="159" spans="1:33" ht="14.25" customHeight="1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</row>
    <row r="160" spans="1:33" ht="14.25" customHeight="1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</row>
    <row r="161" spans="1:33" ht="14.25" customHeight="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</row>
    <row r="162" spans="1:33" ht="14.25" customHeight="1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</row>
    <row r="163" spans="1:33" ht="14.25" customHeight="1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</row>
    <row r="164" spans="1:33" ht="14.25" customHeight="1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</row>
    <row r="165" spans="1:33" ht="14.25" customHeight="1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</row>
    <row r="166" spans="1:33" ht="14.25" customHeight="1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</row>
    <row r="167" spans="1:33" ht="14.25" customHeight="1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</row>
    <row r="168" spans="1:33" ht="14.25" customHeight="1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</row>
    <row r="169" spans="1:33" ht="14.25" customHeight="1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</row>
    <row r="170" spans="1:33" ht="14.25" customHeight="1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</row>
    <row r="171" spans="1:33" ht="14.25" customHeight="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</row>
    <row r="172" spans="1:33" ht="14.25" customHeight="1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</row>
    <row r="173" spans="1:33" ht="14.25" customHeight="1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</row>
    <row r="174" spans="1:33" ht="14.25" customHeight="1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</row>
    <row r="175" spans="1:33" ht="14.25" customHeight="1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</row>
    <row r="176" spans="1:33" ht="14.25" customHeight="1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</row>
    <row r="177" spans="1:33" ht="14.25" customHeight="1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</row>
    <row r="178" spans="1:33" ht="14.25" customHeight="1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</row>
    <row r="179" spans="1:33" ht="14.25" customHeight="1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</row>
    <row r="180" spans="1:33" ht="14.25" customHeight="1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</row>
    <row r="181" spans="1:33" ht="14.25" customHeight="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</row>
    <row r="182" spans="1:33" ht="14.25" customHeight="1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</row>
    <row r="183" spans="1:33" ht="14.25" customHeight="1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</row>
    <row r="184" spans="1:33" ht="14.25" customHeight="1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</row>
    <row r="185" spans="1:33" ht="14.25" customHeight="1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</row>
    <row r="186" spans="1:33" ht="14.25" customHeight="1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</row>
    <row r="187" spans="1:33" ht="14.25" customHeight="1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</row>
    <row r="188" spans="1:33" ht="14.25" customHeight="1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</row>
    <row r="189" spans="1:33" ht="14.25" customHeight="1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</row>
    <row r="190" spans="1:33" ht="14.25" customHeight="1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</row>
    <row r="191" spans="1:33" ht="14.25" customHeight="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</row>
    <row r="192" spans="1:33" ht="14.25" customHeight="1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</row>
    <row r="193" spans="1:33" ht="14.25" customHeight="1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</row>
    <row r="194" spans="1:33" ht="14.25" customHeight="1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</row>
    <row r="195" spans="1:33" ht="14.25" customHeight="1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</row>
    <row r="196" spans="1:33" ht="14.25" customHeight="1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</row>
    <row r="197" spans="1:33" ht="14.25" customHeight="1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</row>
    <row r="198" spans="1:33" ht="14.25" customHeight="1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</row>
    <row r="199" spans="1:33" ht="14.25" customHeight="1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</row>
    <row r="200" spans="1:33" ht="14.25" customHeight="1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</row>
    <row r="201" spans="1:33" ht="14.25" customHeight="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</row>
    <row r="202" spans="1:33" ht="14.25" customHeight="1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</row>
    <row r="203" spans="1:33" ht="14.25" customHeight="1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</row>
    <row r="204" spans="1:33" ht="14.2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</row>
    <row r="205" spans="1:33" ht="14.25" customHeight="1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</row>
    <row r="206" spans="1:33" ht="14.25" customHeight="1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</row>
    <row r="207" spans="1:33" ht="14.25" customHeight="1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</row>
    <row r="208" spans="1:33" ht="14.25" customHeight="1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</row>
    <row r="209" spans="1:33" ht="14.25" customHeight="1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</row>
    <row r="210" spans="1:33" ht="14.25" customHeight="1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</row>
    <row r="211" spans="1:33" ht="14.25" customHeight="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</row>
    <row r="212" spans="1:33" ht="14.25" customHeight="1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</row>
    <row r="213" spans="1:33" ht="14.25" customHeight="1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</row>
    <row r="214" spans="1:33" ht="14.25" customHeight="1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</row>
    <row r="215" spans="1:33" ht="14.25" customHeight="1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</row>
    <row r="216" spans="1:33" ht="14.25" customHeight="1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</row>
    <row r="217" spans="1:33" ht="14.25" customHeight="1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</row>
    <row r="218" spans="1:33" ht="14.25" customHeight="1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</row>
    <row r="219" spans="1:33" ht="14.25" customHeight="1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</row>
    <row r="220" spans="1:33" ht="14.25" customHeight="1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</row>
    <row r="221" spans="1:33" ht="14.25" customHeight="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</row>
    <row r="222" spans="1:33" ht="14.25" customHeight="1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</row>
    <row r="223" spans="1:33" ht="14.25" customHeight="1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</row>
    <row r="224" spans="1:33" ht="14.25" customHeight="1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</row>
    <row r="225" spans="1:33" ht="14.25" customHeight="1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</row>
    <row r="226" spans="1:33" ht="14.25" customHeight="1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</row>
    <row r="227" spans="1:33" ht="14.25" customHeight="1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</row>
    <row r="228" spans="1:33" ht="14.25" customHeight="1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</row>
    <row r="229" spans="1:33" ht="14.25" customHeight="1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</row>
    <row r="230" spans="1:33" ht="14.25" customHeight="1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</row>
    <row r="231" spans="1:33" ht="14.25" customHeight="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</row>
    <row r="232" spans="1:33" ht="14.25" customHeight="1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</row>
    <row r="233" spans="1:33" ht="14.25" customHeight="1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</row>
    <row r="234" spans="1:33" ht="14.25" customHeight="1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</row>
    <row r="235" spans="1:33" ht="14.25" customHeight="1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</row>
    <row r="236" spans="1:33" ht="14.25" customHeight="1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</row>
    <row r="237" spans="1:33" ht="14.25" customHeight="1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</row>
    <row r="238" spans="1:33" ht="14.25" customHeight="1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</row>
    <row r="239" spans="1:33" ht="14.25" customHeight="1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</row>
    <row r="240" spans="1:33" ht="14.25" customHeight="1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</row>
    <row r="241" spans="1:33" ht="14.25" customHeight="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</row>
    <row r="242" spans="1:33" ht="14.25" customHeight="1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</row>
    <row r="243" spans="1:33" ht="14.25" customHeight="1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</row>
    <row r="244" spans="1:33" ht="14.25" customHeight="1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</row>
    <row r="245" spans="1:33" ht="14.25" customHeight="1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</row>
    <row r="246" spans="1:33" ht="14.25" customHeight="1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</row>
    <row r="247" spans="1:33" ht="14.25" customHeight="1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</row>
    <row r="248" spans="1:33" ht="14.25" customHeight="1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</row>
    <row r="249" spans="1:33" ht="14.25" customHeight="1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</row>
    <row r="250" spans="1:33" ht="14.25" customHeight="1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</row>
    <row r="251" spans="1:33" ht="14.25" customHeight="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</row>
    <row r="252" spans="1:33" ht="14.25" customHeight="1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</row>
    <row r="253" spans="1:33" ht="14.25" customHeight="1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</row>
    <row r="254" spans="1:33" ht="14.25" customHeight="1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</row>
    <row r="255" spans="1:33" ht="14.25" customHeight="1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</row>
    <row r="256" spans="1:33" ht="14.25" customHeight="1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</row>
    <row r="257" spans="1:33" ht="14.25" customHeight="1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</row>
    <row r="258" spans="1:33" ht="14.25" customHeight="1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</row>
    <row r="259" spans="1:33" ht="14.25" customHeight="1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</row>
    <row r="260" spans="1:33" ht="14.25" customHeight="1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</row>
    <row r="261" spans="1:33" ht="14.25" customHeight="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</row>
    <row r="262" spans="1:33" ht="14.25" customHeight="1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</row>
    <row r="263" spans="1:33" ht="14.25" customHeight="1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</row>
    <row r="264" spans="1:33" ht="14.25" customHeight="1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</row>
    <row r="265" spans="1:33" ht="14.25" customHeight="1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</row>
    <row r="266" spans="1:33" ht="14.25" customHeight="1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</row>
    <row r="267" spans="1:33" ht="14.25" customHeight="1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</row>
    <row r="268" spans="1:33" ht="14.25" customHeight="1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</row>
    <row r="269" spans="1:33" ht="14.25" customHeight="1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</row>
    <row r="270" spans="1:33" ht="14.25" customHeight="1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</row>
    <row r="271" spans="1:33" ht="14.25" customHeight="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</row>
    <row r="272" spans="1:33" ht="14.25" customHeight="1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</row>
    <row r="273" spans="1:33" ht="14.25" customHeight="1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</row>
    <row r="274" spans="1:33" ht="14.25" customHeight="1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</row>
    <row r="275" spans="1:33" ht="14.25" customHeight="1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</row>
    <row r="276" spans="1:33" ht="14.25" customHeight="1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</row>
    <row r="277" spans="1:33" ht="14.25" customHeight="1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</row>
    <row r="278" spans="1:33" ht="14.25" customHeight="1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</row>
    <row r="279" spans="1:33" ht="14.25" customHeight="1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</row>
    <row r="280" spans="1:33" ht="14.25" customHeight="1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</row>
    <row r="281" spans="1:33" ht="15.75" customHeight="1"/>
    <row r="282" spans="1:33" ht="15.75" customHeight="1"/>
    <row r="283" spans="1:33" ht="15.75" customHeight="1"/>
    <row r="284" spans="1:33" ht="15.75" customHeight="1"/>
    <row r="285" spans="1:33" ht="15.75" customHeight="1"/>
    <row r="286" spans="1:33" ht="15.75" customHeight="1"/>
    <row r="287" spans="1:33" ht="15.75" customHeight="1"/>
    <row r="288" spans="1:33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K39:L39"/>
    <mergeCell ref="Z58:Z68"/>
    <mergeCell ref="B2:C2"/>
    <mergeCell ref="O5:U5"/>
    <mergeCell ref="F7:L7"/>
    <mergeCell ref="O7:U7"/>
    <mergeCell ref="X7:AD7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FF00"/>
    <pageSetUpPr fitToPage="1"/>
  </sheetPr>
  <dimension ref="A1:AA1000"/>
  <sheetViews>
    <sheetView showGridLines="0" workbookViewId="0"/>
  </sheetViews>
  <sheetFormatPr defaultColWidth="12.6640625" defaultRowHeight="15" customHeight="1"/>
  <cols>
    <col min="1" max="1" width="25.6640625" customWidth="1"/>
    <col min="2" max="2" width="32.33203125" customWidth="1"/>
    <col min="3" max="9" width="40.6640625" customWidth="1"/>
    <col min="10" max="27" width="17.33203125" customWidth="1"/>
  </cols>
  <sheetData>
    <row r="1" spans="1:27" ht="14.4">
      <c r="A1" s="273" t="s">
        <v>515</v>
      </c>
      <c r="B1" s="274"/>
      <c r="C1" s="274"/>
      <c r="D1" s="274"/>
      <c r="E1" s="274"/>
      <c r="F1" s="274"/>
      <c r="G1" s="274"/>
      <c r="H1" s="274"/>
      <c r="I1" s="274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spans="1:27" ht="14.4">
      <c r="A2" s="273" t="s">
        <v>516</v>
      </c>
      <c r="B2" s="274"/>
      <c r="C2" s="274"/>
      <c r="D2" s="274"/>
      <c r="E2" s="274"/>
      <c r="F2" s="274"/>
      <c r="G2" s="274"/>
      <c r="H2" s="274"/>
      <c r="I2" s="274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spans="1:27" ht="14.4">
      <c r="A3" s="273" t="s">
        <v>517</v>
      </c>
      <c r="B3" s="274"/>
      <c r="C3" s="274"/>
      <c r="D3" s="274"/>
      <c r="E3" s="274"/>
      <c r="F3" s="274"/>
      <c r="G3" s="274"/>
      <c r="H3" s="274"/>
      <c r="I3" s="274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spans="1:27" ht="14.4">
      <c r="A4" s="273" t="s">
        <v>518</v>
      </c>
      <c r="B4" s="274"/>
      <c r="C4" s="274"/>
      <c r="D4" s="274"/>
      <c r="E4" s="274"/>
      <c r="F4" s="274"/>
      <c r="G4" s="274"/>
      <c r="H4" s="274"/>
      <c r="I4" s="274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spans="1:27" ht="14.4">
      <c r="A5" s="139"/>
      <c r="B5" s="139"/>
      <c r="C5" s="139"/>
      <c r="D5" s="139"/>
      <c r="E5" s="139"/>
      <c r="F5" s="139"/>
      <c r="G5" s="139"/>
      <c r="H5" s="139"/>
      <c r="I5" s="139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spans="1:27" ht="14.4">
      <c r="A6" s="140" t="s">
        <v>519</v>
      </c>
      <c r="B6" s="140"/>
      <c r="C6" s="140"/>
      <c r="D6" s="140"/>
      <c r="E6" s="140"/>
      <c r="F6" s="141"/>
      <c r="G6" s="141"/>
      <c r="H6" s="141"/>
      <c r="I6" s="142" t="s">
        <v>520</v>
      </c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38"/>
    </row>
    <row r="7" spans="1:27" ht="14.4">
      <c r="A7" s="140"/>
      <c r="B7" s="140"/>
      <c r="C7" s="140"/>
      <c r="D7" s="140"/>
      <c r="E7" s="140"/>
      <c r="F7" s="141"/>
      <c r="G7" s="141"/>
      <c r="H7" s="141"/>
      <c r="I7" s="142" t="s">
        <v>521</v>
      </c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38"/>
    </row>
    <row r="8" spans="1:27" ht="14.4">
      <c r="A8" s="140"/>
      <c r="B8" s="140"/>
      <c r="C8" s="140"/>
      <c r="D8" s="140"/>
      <c r="E8" s="140"/>
      <c r="F8" s="141"/>
      <c r="G8" s="141"/>
      <c r="H8" s="141"/>
      <c r="I8" s="142" t="s">
        <v>522</v>
      </c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38"/>
    </row>
    <row r="9" spans="1:27" ht="14.4">
      <c r="A9" s="140"/>
      <c r="B9" s="140"/>
      <c r="C9" s="140"/>
      <c r="D9" s="140"/>
      <c r="E9" s="140"/>
      <c r="F9" s="141"/>
      <c r="G9" s="141"/>
      <c r="H9" s="141"/>
      <c r="I9" s="142" t="s">
        <v>523</v>
      </c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38"/>
    </row>
    <row r="10" spans="1:27" ht="14.4">
      <c r="A10" s="140"/>
      <c r="B10" s="140"/>
      <c r="C10" s="140"/>
      <c r="D10" s="140"/>
      <c r="E10" s="140"/>
      <c r="F10" s="144"/>
      <c r="G10" s="144"/>
      <c r="H10" s="144"/>
      <c r="I10" s="140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  <c r="AA10" s="145"/>
    </row>
    <row r="11" spans="1:27" ht="14.4">
      <c r="A11" s="275" t="s">
        <v>524</v>
      </c>
      <c r="B11" s="277" t="s">
        <v>525</v>
      </c>
      <c r="C11" s="146" t="s">
        <v>526</v>
      </c>
      <c r="D11" s="146" t="s">
        <v>527</v>
      </c>
      <c r="E11" s="146" t="s">
        <v>528</v>
      </c>
      <c r="F11" s="146" t="s">
        <v>529</v>
      </c>
      <c r="G11" s="146" t="s">
        <v>530</v>
      </c>
      <c r="H11" s="146" t="s">
        <v>531</v>
      </c>
      <c r="I11" s="146" t="s">
        <v>532</v>
      </c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  <c r="AA11" s="147"/>
    </row>
    <row r="12" spans="1:27" ht="14.4">
      <c r="A12" s="276"/>
      <c r="B12" s="276"/>
      <c r="C12" s="278">
        <v>46174</v>
      </c>
      <c r="D12" s="279"/>
      <c r="E12" s="279"/>
      <c r="F12" s="279"/>
      <c r="G12" s="279"/>
      <c r="H12" s="279"/>
      <c r="I12" s="280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  <c r="AA12" s="147"/>
    </row>
    <row r="13" spans="1:27" ht="14.4">
      <c r="A13" s="148"/>
      <c r="B13" s="149"/>
      <c r="C13" s="150">
        <f t="shared" ref="C13:I13" si="0">B13+1</f>
        <v>1</v>
      </c>
      <c r="D13" s="150">
        <f t="shared" si="0"/>
        <v>2</v>
      </c>
      <c r="E13" s="150">
        <f t="shared" si="0"/>
        <v>3</v>
      </c>
      <c r="F13" s="150">
        <f t="shared" si="0"/>
        <v>4</v>
      </c>
      <c r="G13" s="150">
        <f t="shared" si="0"/>
        <v>5</v>
      </c>
      <c r="H13" s="150">
        <f t="shared" si="0"/>
        <v>6</v>
      </c>
      <c r="I13" s="150">
        <f t="shared" si="0"/>
        <v>7</v>
      </c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  <c r="AA13" s="147"/>
    </row>
    <row r="14" spans="1:27" ht="14.4">
      <c r="A14" s="151"/>
      <c r="B14" s="151"/>
      <c r="C14" s="152" t="s">
        <v>533</v>
      </c>
      <c r="D14" s="151"/>
      <c r="E14" s="151"/>
      <c r="F14" s="151"/>
      <c r="G14" s="151"/>
      <c r="H14" s="151"/>
      <c r="I14" s="151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  <c r="AA14" s="147"/>
    </row>
    <row r="15" spans="1:27" ht="14.4">
      <c r="A15" s="148"/>
      <c r="B15" s="148"/>
      <c r="C15" s="153">
        <f>I13+1</f>
        <v>8</v>
      </c>
      <c r="D15" s="153">
        <f t="shared" ref="D15:I15" si="1">C15+1</f>
        <v>9</v>
      </c>
      <c r="E15" s="153">
        <f t="shared" si="1"/>
        <v>10</v>
      </c>
      <c r="F15" s="153">
        <f t="shared" si="1"/>
        <v>11</v>
      </c>
      <c r="G15" s="150">
        <f t="shared" si="1"/>
        <v>12</v>
      </c>
      <c r="H15" s="150">
        <f t="shared" si="1"/>
        <v>13</v>
      </c>
      <c r="I15" s="150">
        <f t="shared" si="1"/>
        <v>14</v>
      </c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  <c r="AA15" s="147"/>
    </row>
    <row r="16" spans="1:27" ht="14.4">
      <c r="A16" s="151"/>
      <c r="B16" s="151"/>
      <c r="C16" s="151"/>
      <c r="D16" s="151"/>
      <c r="E16" s="151"/>
      <c r="F16" s="151"/>
      <c r="G16" s="151"/>
      <c r="H16" s="151"/>
      <c r="I16" s="151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  <c r="AA16" s="147"/>
    </row>
    <row r="17" spans="1:27" ht="14.4">
      <c r="A17" s="148"/>
      <c r="B17" s="148"/>
      <c r="C17" s="150">
        <f>I15+1</f>
        <v>15</v>
      </c>
      <c r="D17" s="150">
        <f t="shared" ref="D17:I17" si="2">C17+1</f>
        <v>16</v>
      </c>
      <c r="E17" s="150">
        <f t="shared" si="2"/>
        <v>17</v>
      </c>
      <c r="F17" s="150">
        <f t="shared" si="2"/>
        <v>18</v>
      </c>
      <c r="G17" s="150">
        <f t="shared" si="2"/>
        <v>19</v>
      </c>
      <c r="H17" s="150">
        <f t="shared" si="2"/>
        <v>20</v>
      </c>
      <c r="I17" s="150">
        <f t="shared" si="2"/>
        <v>21</v>
      </c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  <c r="AA17" s="147"/>
    </row>
    <row r="18" spans="1:27" ht="14.4">
      <c r="A18" s="151"/>
      <c r="B18" s="151"/>
      <c r="C18" s="151"/>
      <c r="D18" s="151"/>
      <c r="E18" s="152" t="s">
        <v>534</v>
      </c>
      <c r="F18" s="151"/>
      <c r="G18" s="151"/>
      <c r="H18" s="151"/>
      <c r="I18" s="151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  <c r="AA18" s="147"/>
    </row>
    <row r="19" spans="1:27" ht="14.4">
      <c r="A19" s="148"/>
      <c r="B19" s="148"/>
      <c r="C19" s="150">
        <f>I17+1</f>
        <v>22</v>
      </c>
      <c r="D19" s="150">
        <f t="shared" ref="D19:I19" si="3">C19+1</f>
        <v>23</v>
      </c>
      <c r="E19" s="150">
        <f t="shared" si="3"/>
        <v>24</v>
      </c>
      <c r="F19" s="150">
        <f t="shared" si="3"/>
        <v>25</v>
      </c>
      <c r="G19" s="150">
        <f t="shared" si="3"/>
        <v>26</v>
      </c>
      <c r="H19" s="150">
        <f t="shared" si="3"/>
        <v>27</v>
      </c>
      <c r="I19" s="150">
        <f t="shared" si="3"/>
        <v>28</v>
      </c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  <c r="AA19" s="147"/>
    </row>
    <row r="20" spans="1:27" ht="14.4">
      <c r="A20" s="151"/>
      <c r="B20" s="151"/>
      <c r="C20" s="151"/>
      <c r="D20" s="151"/>
      <c r="E20" s="151"/>
      <c r="F20" s="151"/>
      <c r="G20" s="151"/>
      <c r="H20" s="151"/>
      <c r="I20" s="151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  <c r="AA20" s="147"/>
    </row>
    <row r="21" spans="1:27" ht="15.75" customHeight="1">
      <c r="A21" s="148"/>
      <c r="B21" s="148"/>
      <c r="C21" s="150">
        <f>I19+1</f>
        <v>29</v>
      </c>
      <c r="D21" s="150">
        <f>C21+1</f>
        <v>30</v>
      </c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  <c r="AA21" s="147"/>
    </row>
    <row r="22" spans="1:27" ht="15.75" customHeight="1">
      <c r="A22" s="154" t="s">
        <v>397</v>
      </c>
      <c r="B22" s="154" t="s">
        <v>535</v>
      </c>
      <c r="C22" s="154" t="s">
        <v>536</v>
      </c>
      <c r="D22" s="154" t="s">
        <v>536</v>
      </c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  <c r="AA22" s="147"/>
    </row>
    <row r="23" spans="1:27" ht="49.5" customHeight="1">
      <c r="A23" s="155" t="s">
        <v>82</v>
      </c>
      <c r="B23" s="155" t="s">
        <v>537</v>
      </c>
      <c r="C23" s="155" t="s">
        <v>538</v>
      </c>
      <c r="D23" s="155" t="s">
        <v>539</v>
      </c>
      <c r="E23" s="147"/>
      <c r="F23" s="147"/>
      <c r="G23" s="147"/>
      <c r="H23" s="147"/>
      <c r="I23" s="147"/>
      <c r="J23" s="156"/>
      <c r="K23" s="156"/>
      <c r="L23" s="156"/>
      <c r="M23" s="156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</row>
    <row r="24" spans="1:27" ht="49.5" customHeight="1">
      <c r="A24" s="155" t="s">
        <v>92</v>
      </c>
      <c r="B24" s="155" t="s">
        <v>540</v>
      </c>
      <c r="C24" s="155" t="s">
        <v>541</v>
      </c>
      <c r="D24" s="155" t="s">
        <v>542</v>
      </c>
      <c r="E24" s="147"/>
      <c r="F24" s="147"/>
      <c r="G24" s="147"/>
      <c r="H24" s="147"/>
      <c r="I24" s="147"/>
      <c r="J24" s="156"/>
      <c r="K24" s="156"/>
      <c r="L24" s="156"/>
      <c r="M24" s="156"/>
      <c r="N24" s="156"/>
      <c r="O24" s="156"/>
      <c r="P24" s="156"/>
      <c r="Q24" s="156"/>
      <c r="R24" s="156"/>
      <c r="S24" s="156"/>
      <c r="T24" s="156"/>
      <c r="U24" s="156"/>
      <c r="V24" s="156"/>
      <c r="W24" s="156"/>
      <c r="X24" s="156"/>
      <c r="Y24" s="156"/>
      <c r="Z24" s="156"/>
      <c r="AA24" s="156"/>
    </row>
    <row r="25" spans="1:27" ht="15.75" customHeight="1">
      <c r="A25" s="157" t="s">
        <v>98</v>
      </c>
      <c r="B25" s="157" t="s">
        <v>543</v>
      </c>
      <c r="C25" s="157" t="s">
        <v>544</v>
      </c>
      <c r="D25" s="157" t="s">
        <v>545</v>
      </c>
      <c r="E25" s="147"/>
      <c r="F25" s="147"/>
      <c r="G25" s="147"/>
      <c r="H25" s="147"/>
      <c r="I25" s="147"/>
      <c r="J25" s="156"/>
      <c r="K25" s="156"/>
      <c r="L25" s="156"/>
      <c r="M25" s="156"/>
      <c r="N25" s="156"/>
      <c r="O25" s="156"/>
      <c r="P25" s="156"/>
      <c r="Q25" s="156"/>
      <c r="R25" s="156"/>
      <c r="S25" s="156"/>
      <c r="T25" s="156"/>
      <c r="U25" s="156"/>
      <c r="V25" s="156"/>
      <c r="W25" s="156"/>
      <c r="X25" s="156"/>
      <c r="Y25" s="156"/>
      <c r="Z25" s="156"/>
      <c r="AA25" s="156"/>
    </row>
    <row r="26" spans="1:27" ht="49.5" customHeight="1">
      <c r="A26" s="157" t="s">
        <v>104</v>
      </c>
      <c r="B26" s="157" t="s">
        <v>546</v>
      </c>
      <c r="C26" s="157" t="s">
        <v>547</v>
      </c>
      <c r="D26" s="157" t="s">
        <v>548</v>
      </c>
      <c r="E26" s="147"/>
      <c r="F26" s="147"/>
      <c r="G26" s="147"/>
      <c r="H26" s="147"/>
      <c r="I26" s="147"/>
      <c r="J26" s="156"/>
      <c r="K26" s="156"/>
      <c r="L26" s="156"/>
      <c r="M26" s="156"/>
      <c r="N26" s="156"/>
      <c r="O26" s="156"/>
      <c r="P26" s="156"/>
      <c r="Q26" s="156"/>
      <c r="R26" s="156"/>
      <c r="S26" s="156"/>
      <c r="T26" s="156"/>
      <c r="U26" s="156"/>
      <c r="V26" s="156"/>
      <c r="W26" s="156"/>
      <c r="X26" s="156"/>
      <c r="Y26" s="156"/>
      <c r="Z26" s="156"/>
      <c r="AA26" s="156"/>
    </row>
    <row r="27" spans="1:27" ht="15.75" customHeight="1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  <c r="AA27" s="147"/>
    </row>
    <row r="28" spans="1:27" ht="15.75" customHeight="1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  <c r="AA28" s="147"/>
    </row>
    <row r="29" spans="1:27" ht="15.75" customHeight="1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  <c r="AA29" s="147"/>
    </row>
    <row r="30" spans="1:27" ht="15.75" customHeight="1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  <c r="AA30" s="147"/>
    </row>
    <row r="31" spans="1:27" ht="15.75" customHeight="1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  <c r="AA31" s="147"/>
    </row>
    <row r="32" spans="1:27" ht="15.75" customHeight="1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  <c r="AA32" s="147"/>
    </row>
    <row r="33" spans="1:27" ht="15.75" customHeight="1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  <c r="AA33" s="147"/>
    </row>
    <row r="34" spans="1:27" ht="15.75" customHeight="1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  <c r="AA34" s="147"/>
    </row>
    <row r="35" spans="1:27" ht="15.75" customHeight="1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  <c r="AA35" s="147"/>
    </row>
    <row r="36" spans="1:27" ht="15.75" customHeight="1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  <c r="AA36" s="147"/>
    </row>
    <row r="37" spans="1:27" ht="15.75" customHeight="1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47"/>
    </row>
    <row r="38" spans="1:27" ht="15.75" customHeight="1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  <c r="AA38" s="147"/>
    </row>
    <row r="39" spans="1:27" ht="15.75" customHeight="1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  <c r="AA39" s="147"/>
    </row>
    <row r="40" spans="1:27" ht="15.75" customHeight="1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  <c r="AA40" s="147"/>
    </row>
    <row r="41" spans="1:27" ht="15.75" customHeight="1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47"/>
    </row>
    <row r="42" spans="1:27" ht="15.75" customHeight="1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47"/>
    </row>
    <row r="43" spans="1:27" ht="15.75" customHeight="1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  <c r="AA43" s="147"/>
    </row>
    <row r="44" spans="1:27" ht="15.75" customHeight="1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  <c r="AA44" s="147"/>
    </row>
    <row r="45" spans="1:27" ht="15.75" customHeight="1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  <c r="AA45" s="147"/>
    </row>
    <row r="46" spans="1:27" ht="15.75" customHeight="1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  <c r="AA46" s="147"/>
    </row>
    <row r="47" spans="1:27" ht="15.75" customHeight="1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  <c r="AA47" s="147"/>
    </row>
    <row r="48" spans="1:27" ht="15.75" customHeight="1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  <c r="AA48" s="147"/>
    </row>
    <row r="49" spans="1:27" ht="15.75" customHeight="1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  <c r="AA49" s="147"/>
    </row>
    <row r="50" spans="1:27" ht="15.75" customHeight="1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  <c r="AA50" s="147"/>
    </row>
    <row r="51" spans="1:27" ht="15.75" customHeight="1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  <c r="AA51" s="147"/>
    </row>
    <row r="52" spans="1:27" ht="15.75" customHeight="1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  <c r="AA52" s="147"/>
    </row>
    <row r="53" spans="1:27" ht="15.75" customHeight="1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  <c r="AA53" s="147"/>
    </row>
    <row r="54" spans="1:27" ht="15.75" customHeight="1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  <c r="AA54" s="147"/>
    </row>
    <row r="55" spans="1:27" ht="15.75" customHeight="1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  <c r="AA55" s="147"/>
    </row>
    <row r="56" spans="1:27" ht="15.75" customHeight="1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  <c r="AA56" s="147"/>
    </row>
    <row r="57" spans="1:27" ht="15.75" customHeight="1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  <c r="AA57" s="147"/>
    </row>
    <row r="58" spans="1:27" ht="15.75" customHeight="1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  <c r="AA58" s="147"/>
    </row>
    <row r="59" spans="1:27" ht="15.75" customHeight="1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  <c r="AA59" s="147"/>
    </row>
    <row r="60" spans="1:27" ht="15.75" customHeight="1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  <c r="AA60" s="147"/>
    </row>
    <row r="61" spans="1:27" ht="15.75" customHeight="1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  <c r="AA61" s="147"/>
    </row>
    <row r="62" spans="1:27" ht="15.75" customHeight="1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  <c r="AA62" s="147"/>
    </row>
    <row r="63" spans="1:27" ht="15.75" customHeight="1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</row>
    <row r="64" spans="1:27" ht="15.75" customHeight="1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  <c r="AA64" s="147"/>
    </row>
    <row r="65" spans="1:27" ht="15.75" customHeight="1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  <c r="AA65" s="147"/>
    </row>
    <row r="66" spans="1:27" ht="15.75" customHeight="1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  <c r="AA66" s="147"/>
    </row>
    <row r="67" spans="1:27" ht="15.75" customHeight="1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  <c r="AA67" s="147"/>
    </row>
    <row r="68" spans="1:27" ht="15.75" customHeight="1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  <c r="AA68" s="147"/>
    </row>
    <row r="69" spans="1:27" ht="15.75" customHeight="1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</row>
    <row r="70" spans="1:27" ht="15.75" customHeight="1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  <c r="AA70" s="147"/>
    </row>
    <row r="71" spans="1:27" ht="15.75" customHeight="1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  <c r="AA71" s="147"/>
    </row>
    <row r="72" spans="1:27" ht="15.75" customHeight="1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  <c r="AA72" s="147"/>
    </row>
    <row r="73" spans="1:27" ht="15.75" customHeight="1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  <c r="AA73" s="147"/>
    </row>
    <row r="74" spans="1:27" ht="15.75" customHeight="1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  <c r="AA74" s="147"/>
    </row>
    <row r="75" spans="1:27" ht="15.75" customHeight="1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  <c r="AA75" s="147"/>
    </row>
    <row r="76" spans="1:27" ht="15.75" customHeight="1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  <c r="AA76" s="147"/>
    </row>
    <row r="77" spans="1:27" ht="15.75" customHeight="1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  <c r="AA77" s="147"/>
    </row>
    <row r="78" spans="1:27" ht="15.75" customHeight="1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</row>
    <row r="79" spans="1:27" ht="15.75" customHeight="1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  <c r="AA79" s="147"/>
    </row>
    <row r="80" spans="1:27" ht="15.75" customHeight="1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  <c r="AA80" s="147"/>
    </row>
    <row r="81" spans="1:27" ht="15.75" customHeight="1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  <c r="AA81" s="147"/>
    </row>
    <row r="82" spans="1:27" ht="15.75" customHeight="1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  <c r="AA82" s="147"/>
    </row>
    <row r="83" spans="1:27" ht="15.75" customHeight="1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  <c r="AA83" s="147"/>
    </row>
    <row r="84" spans="1:27" ht="15.75" customHeight="1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  <c r="AA84" s="147"/>
    </row>
    <row r="85" spans="1:27" ht="15.75" customHeight="1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  <c r="AA85" s="147"/>
    </row>
    <row r="86" spans="1:27" ht="15.75" customHeight="1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  <c r="AA86" s="147"/>
    </row>
    <row r="87" spans="1:27" ht="15.75" customHeight="1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  <c r="AA87" s="147"/>
    </row>
    <row r="88" spans="1:27" ht="15.75" customHeight="1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  <c r="AA88" s="147"/>
    </row>
    <row r="89" spans="1:27" ht="15.75" customHeight="1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  <c r="AA89" s="147"/>
    </row>
    <row r="90" spans="1:27" ht="15.75" customHeight="1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47"/>
    </row>
    <row r="91" spans="1:27" ht="15.75" customHeight="1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  <c r="AA91" s="147"/>
    </row>
    <row r="92" spans="1:27" ht="15.75" customHeight="1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  <c r="AA92" s="147"/>
    </row>
    <row r="93" spans="1:27" ht="15.75" customHeight="1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  <c r="AA93" s="147"/>
    </row>
    <row r="94" spans="1:27" ht="15.75" customHeight="1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  <c r="AA94" s="147"/>
    </row>
    <row r="95" spans="1:27" ht="15.75" customHeight="1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  <c r="AA95" s="147"/>
    </row>
    <row r="96" spans="1:27" ht="15.75" customHeight="1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  <c r="AA96" s="147"/>
    </row>
    <row r="97" spans="1:27" ht="15.75" customHeight="1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  <c r="AA97" s="147"/>
    </row>
    <row r="98" spans="1:27" ht="15.75" customHeight="1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  <c r="AA98" s="147"/>
    </row>
    <row r="99" spans="1:27" ht="15.75" customHeight="1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  <c r="AA99" s="147"/>
    </row>
    <row r="100" spans="1:27" ht="15.75" customHeight="1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</row>
    <row r="101" spans="1:27" ht="15.75" customHeight="1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</row>
    <row r="102" spans="1:27" ht="15.75" customHeight="1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</row>
    <row r="103" spans="1:27" ht="15.75" customHeight="1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</row>
    <row r="104" spans="1:27" ht="15.75" customHeight="1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</row>
    <row r="105" spans="1:27" ht="15.75" customHeight="1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</row>
    <row r="106" spans="1:27" ht="15.75" customHeight="1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</row>
    <row r="107" spans="1:27" ht="15.75" customHeight="1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</row>
    <row r="108" spans="1:27" ht="15.75" customHeight="1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</row>
    <row r="109" spans="1:27" ht="15.75" customHeight="1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</row>
    <row r="110" spans="1:27" ht="15.75" customHeight="1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</row>
    <row r="111" spans="1:27" ht="15.75" customHeight="1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</row>
    <row r="112" spans="1:27" ht="15.75" customHeight="1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</row>
    <row r="113" spans="1:27" ht="15.75" customHeight="1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</row>
    <row r="114" spans="1:27" ht="15.75" customHeight="1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</row>
    <row r="115" spans="1:27" ht="15.75" customHeight="1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</row>
    <row r="116" spans="1:27" ht="15.75" customHeight="1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</row>
    <row r="117" spans="1:27" ht="15.75" customHeight="1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</row>
    <row r="118" spans="1:27" ht="15.75" customHeight="1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</row>
    <row r="119" spans="1:27" ht="15.75" customHeight="1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</row>
    <row r="120" spans="1:27" ht="15.75" customHeight="1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</row>
    <row r="121" spans="1:27" ht="15.75" customHeight="1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</row>
    <row r="122" spans="1:27" ht="15.75" customHeight="1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</row>
    <row r="123" spans="1:27" ht="15.75" customHeight="1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</row>
    <row r="124" spans="1:27" ht="15.75" customHeight="1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</row>
    <row r="125" spans="1:27" ht="15.75" customHeight="1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</row>
    <row r="126" spans="1:27" ht="15.75" customHeight="1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</row>
    <row r="127" spans="1:27" ht="15.75" customHeight="1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</row>
    <row r="128" spans="1:27" ht="15.75" customHeight="1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</row>
    <row r="129" spans="1:27" ht="15.75" customHeight="1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</row>
    <row r="130" spans="1:27" ht="15.75" customHeight="1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</row>
    <row r="131" spans="1:27" ht="15.75" customHeight="1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</row>
    <row r="132" spans="1:27" ht="15.75" customHeight="1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</row>
    <row r="133" spans="1:27" ht="15.75" customHeight="1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</row>
    <row r="134" spans="1:27" ht="15.75" customHeight="1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</row>
    <row r="135" spans="1:27" ht="15.75" customHeight="1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</row>
    <row r="136" spans="1:27" ht="15.75" customHeight="1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</row>
    <row r="137" spans="1:27" ht="15.75" customHeight="1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</row>
    <row r="138" spans="1:27" ht="15.75" customHeight="1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</row>
    <row r="139" spans="1:27" ht="15.75" customHeight="1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</row>
    <row r="140" spans="1:27" ht="15.75" customHeight="1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</row>
    <row r="141" spans="1:27" ht="15.75" customHeight="1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</row>
    <row r="142" spans="1:27" ht="15.75" customHeight="1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</row>
    <row r="143" spans="1:27" ht="15.75" customHeight="1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</row>
    <row r="144" spans="1:27" ht="15.75" customHeight="1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</row>
    <row r="145" spans="1:27" ht="15.75" customHeight="1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</row>
    <row r="146" spans="1:27" ht="15.75" customHeight="1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</row>
    <row r="147" spans="1:27" ht="15.75" customHeight="1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</row>
    <row r="148" spans="1:27" ht="15.75" customHeight="1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</row>
    <row r="149" spans="1:27" ht="15.75" customHeight="1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</row>
    <row r="150" spans="1:27" ht="15.75" customHeight="1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</row>
    <row r="151" spans="1:27" ht="15.75" customHeight="1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</row>
    <row r="152" spans="1:27" ht="15.75" customHeight="1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</row>
    <row r="153" spans="1:27" ht="15.75" customHeight="1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</row>
    <row r="154" spans="1:27" ht="15.75" customHeight="1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</row>
    <row r="155" spans="1:27" ht="15.75" customHeight="1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</row>
    <row r="156" spans="1:27" ht="15.75" customHeight="1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</row>
    <row r="157" spans="1:27" ht="15.75" customHeight="1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</row>
    <row r="158" spans="1:27" ht="15.75" customHeight="1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</row>
    <row r="159" spans="1:27" ht="15.75" customHeight="1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</row>
    <row r="160" spans="1:27" ht="15.75" customHeight="1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</row>
    <row r="161" spans="1:27" ht="15.75" customHeight="1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</row>
    <row r="162" spans="1:27" ht="15.75" customHeight="1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</row>
    <row r="163" spans="1:27" ht="15.75" customHeight="1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</row>
    <row r="164" spans="1:27" ht="15.75" customHeight="1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</row>
    <row r="165" spans="1:27" ht="15.75" customHeight="1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</row>
    <row r="166" spans="1:27" ht="15.75" customHeight="1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</row>
    <row r="167" spans="1:27" ht="15.75" customHeight="1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</row>
    <row r="168" spans="1:27" ht="15.75" customHeight="1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  <c r="AA168" s="158"/>
    </row>
    <row r="169" spans="1:27" ht="15.75" customHeight="1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  <c r="AA169" s="158"/>
    </row>
    <row r="170" spans="1:27" ht="15.75" customHeight="1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  <c r="AA170" s="158"/>
    </row>
    <row r="171" spans="1:27" ht="15.75" customHeight="1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  <c r="AA171" s="158"/>
    </row>
    <row r="172" spans="1:27" ht="15.75" customHeight="1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  <c r="AA172" s="158"/>
    </row>
    <row r="173" spans="1:27" ht="15.75" customHeight="1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  <c r="AA173" s="158"/>
    </row>
    <row r="174" spans="1:27" ht="15.75" customHeight="1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  <c r="AA174" s="158"/>
    </row>
    <row r="175" spans="1:27" ht="15.75" customHeight="1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  <c r="AA175" s="158"/>
    </row>
    <row r="176" spans="1:27" ht="15.75" customHeight="1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  <c r="AA176" s="158"/>
    </row>
    <row r="177" spans="1:27" ht="15.75" customHeight="1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  <c r="AA177" s="158"/>
    </row>
    <row r="178" spans="1:27" ht="15.75" customHeight="1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  <c r="AA178" s="158"/>
    </row>
    <row r="179" spans="1:27" ht="15.75" customHeight="1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  <c r="AA179" s="158"/>
    </row>
    <row r="180" spans="1:27" ht="15.75" customHeight="1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  <c r="AA180" s="158"/>
    </row>
    <row r="181" spans="1:27" ht="15.75" customHeight="1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  <c r="AA181" s="158"/>
    </row>
    <row r="182" spans="1:27" ht="15.75" customHeight="1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  <c r="AA182" s="158"/>
    </row>
    <row r="183" spans="1:27" ht="15.75" customHeight="1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  <c r="AA183" s="158"/>
    </row>
    <row r="184" spans="1:27" ht="15.75" customHeight="1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  <c r="AA184" s="158"/>
    </row>
    <row r="185" spans="1:27" ht="15.75" customHeight="1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  <c r="AA185" s="158"/>
    </row>
    <row r="186" spans="1:27" ht="15.75" customHeight="1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  <c r="AA186" s="158"/>
    </row>
    <row r="187" spans="1:27" ht="15.75" customHeight="1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  <c r="AA187" s="158"/>
    </row>
    <row r="188" spans="1:27" ht="15.75" customHeight="1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  <c r="AA188" s="158"/>
    </row>
    <row r="189" spans="1:27" ht="15.75" customHeight="1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  <c r="AA189" s="158"/>
    </row>
    <row r="190" spans="1:27" ht="15.75" customHeight="1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  <c r="AA190" s="158"/>
    </row>
    <row r="191" spans="1:27" ht="15.75" customHeight="1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  <c r="AA191" s="158"/>
    </row>
    <row r="192" spans="1:27" ht="15.75" customHeight="1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  <c r="AA192" s="158"/>
    </row>
    <row r="193" spans="1:27" ht="15.75" customHeight="1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  <c r="AA193" s="158"/>
    </row>
    <row r="194" spans="1:27" ht="15.75" customHeight="1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  <c r="AA194" s="158"/>
    </row>
    <row r="195" spans="1:27" ht="15.75" customHeight="1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  <c r="AA195" s="158"/>
    </row>
    <row r="196" spans="1:27" ht="15.75" customHeight="1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  <c r="AA196" s="158"/>
    </row>
    <row r="197" spans="1:27" ht="15.75" customHeight="1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  <c r="AA197" s="158"/>
    </row>
    <row r="198" spans="1:27" ht="15.75" customHeight="1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  <c r="AA198" s="158"/>
    </row>
    <row r="199" spans="1:27" ht="15.75" customHeight="1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  <c r="AA199" s="158"/>
    </row>
    <row r="200" spans="1:27" ht="15.75" customHeight="1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  <c r="AA200" s="158"/>
    </row>
    <row r="201" spans="1:27" ht="15.75" customHeight="1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  <c r="AA201" s="158"/>
    </row>
    <row r="202" spans="1:27" ht="15.75" customHeight="1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  <c r="AA202" s="158"/>
    </row>
    <row r="203" spans="1:27" ht="15.75" customHeight="1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  <c r="AA203" s="158"/>
    </row>
    <row r="204" spans="1:27" ht="15.75" customHeight="1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  <c r="AA204" s="158"/>
    </row>
    <row r="205" spans="1:27" ht="15.75" customHeight="1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  <c r="AA205" s="158"/>
    </row>
    <row r="206" spans="1:27" ht="15.75" customHeight="1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  <c r="AA206" s="158"/>
    </row>
    <row r="207" spans="1:27" ht="15.75" customHeight="1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  <c r="AA207" s="158"/>
    </row>
    <row r="208" spans="1:27" ht="15.75" customHeight="1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  <c r="AA208" s="158"/>
    </row>
    <row r="209" spans="1:27" ht="15.75" customHeight="1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  <c r="AA209" s="158"/>
    </row>
    <row r="210" spans="1:27" ht="15.75" customHeight="1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  <c r="AA210" s="158"/>
    </row>
    <row r="211" spans="1:27" ht="15.75" customHeight="1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  <c r="AA211" s="158"/>
    </row>
    <row r="212" spans="1:27" ht="15.75" customHeight="1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  <c r="AA212" s="158"/>
    </row>
    <row r="213" spans="1:27" ht="15.75" customHeight="1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  <c r="AA213" s="158"/>
    </row>
    <row r="214" spans="1:27" ht="15.75" customHeight="1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  <c r="AA214" s="158"/>
    </row>
    <row r="215" spans="1:27" ht="15.75" customHeight="1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  <c r="AA215" s="158"/>
    </row>
    <row r="216" spans="1:27" ht="15.75" customHeight="1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  <c r="AA216" s="158"/>
    </row>
    <row r="217" spans="1:27" ht="15.75" customHeight="1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  <c r="AA217" s="158"/>
    </row>
    <row r="218" spans="1:27" ht="15.75" customHeight="1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  <c r="AA218" s="158"/>
    </row>
    <row r="219" spans="1:27" ht="15.75" customHeight="1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  <c r="AA219" s="158"/>
    </row>
    <row r="220" spans="1:27" ht="15.75" customHeight="1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  <c r="AA220" s="158"/>
    </row>
    <row r="221" spans="1:27" ht="15.75" customHeight="1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  <c r="AA221" s="158"/>
    </row>
    <row r="222" spans="1:27" ht="15.75" customHeight="1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  <c r="AA222" s="158"/>
    </row>
    <row r="223" spans="1:27" ht="15.75" customHeight="1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  <c r="AA223" s="158"/>
    </row>
    <row r="224" spans="1:27" ht="15.75" customHeight="1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  <c r="AA224" s="158"/>
    </row>
    <row r="225" spans="1:27" ht="15.75" customHeight="1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  <c r="AA225" s="158"/>
    </row>
    <row r="226" spans="1:27" ht="15.75" customHeight="1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  <c r="AA226" s="158"/>
    </row>
    <row r="227" spans="1:27" ht="15.75" customHeight="1"/>
    <row r="228" spans="1:27" ht="15.75" customHeight="1"/>
    <row r="229" spans="1:27" ht="15.75" customHeight="1"/>
    <row r="230" spans="1:27" ht="15.75" customHeight="1"/>
    <row r="231" spans="1:27" ht="15.75" customHeight="1"/>
    <row r="232" spans="1:27" ht="15.75" customHeight="1"/>
    <row r="233" spans="1:27" ht="15.75" customHeight="1"/>
    <row r="234" spans="1:27" ht="15.75" customHeight="1"/>
    <row r="235" spans="1:27" ht="15.75" customHeight="1"/>
    <row r="236" spans="1:27" ht="15.75" customHeight="1"/>
    <row r="237" spans="1:27" ht="15.75" customHeight="1"/>
    <row r="238" spans="1:27" ht="15.75" customHeight="1"/>
    <row r="239" spans="1:27" ht="15.75" customHeight="1"/>
    <row r="240" spans="1:27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ageMargins left="0" right="0" top="0" bottom="0" header="0" footer="0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FF00"/>
    <pageSetUpPr fitToPage="1"/>
  </sheetPr>
  <dimension ref="A1:AA1000"/>
  <sheetViews>
    <sheetView showGridLines="0" workbookViewId="0"/>
  </sheetViews>
  <sheetFormatPr defaultColWidth="12.6640625" defaultRowHeight="15" customHeight="1"/>
  <cols>
    <col min="1" max="1" width="25.6640625" customWidth="1"/>
    <col min="2" max="2" width="32.33203125" customWidth="1"/>
    <col min="3" max="9" width="40.6640625" customWidth="1"/>
    <col min="10" max="27" width="17.33203125" customWidth="1"/>
  </cols>
  <sheetData>
    <row r="1" spans="1:27" ht="15" customHeight="1">
      <c r="A1" s="281" t="s">
        <v>549</v>
      </c>
      <c r="B1" s="274"/>
      <c r="C1" s="274"/>
      <c r="D1" s="274"/>
      <c r="E1" s="274"/>
      <c r="F1" s="274"/>
      <c r="G1" s="274"/>
      <c r="H1" s="274"/>
      <c r="I1" s="274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spans="1:27" ht="15" customHeight="1">
      <c r="A2" s="281" t="s">
        <v>516</v>
      </c>
      <c r="B2" s="274"/>
      <c r="C2" s="274"/>
      <c r="D2" s="274"/>
      <c r="E2" s="274"/>
      <c r="F2" s="274"/>
      <c r="G2" s="274"/>
      <c r="H2" s="274"/>
      <c r="I2" s="274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spans="1:27" ht="15" customHeight="1">
      <c r="A3" s="281" t="s">
        <v>517</v>
      </c>
      <c r="B3" s="274"/>
      <c r="C3" s="274"/>
      <c r="D3" s="274"/>
      <c r="E3" s="274"/>
      <c r="F3" s="274"/>
      <c r="G3" s="274"/>
      <c r="H3" s="274"/>
      <c r="I3" s="274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spans="1:27" ht="15" customHeight="1">
      <c r="A4" s="281" t="s">
        <v>518</v>
      </c>
      <c r="B4" s="274"/>
      <c r="C4" s="274"/>
      <c r="D4" s="274"/>
      <c r="E4" s="274"/>
      <c r="F4" s="274"/>
      <c r="G4" s="274"/>
      <c r="H4" s="274"/>
      <c r="I4" s="274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spans="1:27" ht="15" customHeight="1">
      <c r="A5" s="159"/>
      <c r="B5" s="159"/>
      <c r="C5" s="159"/>
      <c r="D5" s="159"/>
      <c r="E5" s="159"/>
      <c r="F5" s="159"/>
      <c r="G5" s="159"/>
      <c r="H5" s="159"/>
      <c r="I5" s="159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spans="1:27" ht="15" customHeight="1">
      <c r="A6" s="140" t="s">
        <v>519</v>
      </c>
      <c r="B6" s="140"/>
      <c r="C6" s="140"/>
      <c r="D6" s="140"/>
      <c r="E6" s="140"/>
      <c r="F6" s="141"/>
      <c r="G6" s="141"/>
      <c r="H6" s="141"/>
      <c r="I6" s="160" t="s">
        <v>520</v>
      </c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38"/>
    </row>
    <row r="7" spans="1:27" ht="15" customHeight="1">
      <c r="A7" s="140"/>
      <c r="B7" s="140"/>
      <c r="C7" s="140"/>
      <c r="D7" s="140"/>
      <c r="E7" s="140"/>
      <c r="F7" s="141"/>
      <c r="G7" s="141"/>
      <c r="H7" s="141"/>
      <c r="I7" s="160" t="s">
        <v>521</v>
      </c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38"/>
    </row>
    <row r="8" spans="1:27" ht="15" customHeight="1">
      <c r="A8" s="140"/>
      <c r="B8" s="140"/>
      <c r="C8" s="140"/>
      <c r="D8" s="140"/>
      <c r="E8" s="140"/>
      <c r="F8" s="141"/>
      <c r="G8" s="141"/>
      <c r="H8" s="141"/>
      <c r="I8" s="160" t="s">
        <v>522</v>
      </c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38"/>
    </row>
    <row r="9" spans="1:27" ht="15" customHeight="1">
      <c r="A9" s="140"/>
      <c r="B9" s="140"/>
      <c r="C9" s="140"/>
      <c r="D9" s="140"/>
      <c r="E9" s="140"/>
      <c r="F9" s="141"/>
      <c r="G9" s="141"/>
      <c r="H9" s="141"/>
      <c r="I9" s="160" t="s">
        <v>550</v>
      </c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38"/>
    </row>
    <row r="10" spans="1:27" ht="15" customHeight="1">
      <c r="A10" s="140"/>
      <c r="B10" s="140"/>
      <c r="C10" s="140"/>
      <c r="D10" s="140"/>
      <c r="E10" s="140"/>
      <c r="F10" s="144"/>
      <c r="G10" s="144"/>
      <c r="H10" s="144"/>
      <c r="I10" s="161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  <c r="AA10" s="145"/>
    </row>
    <row r="11" spans="1:27" ht="12.75" customHeight="1">
      <c r="A11" s="282" t="s">
        <v>524</v>
      </c>
      <c r="B11" s="284" t="s">
        <v>525</v>
      </c>
      <c r="C11" s="162" t="s">
        <v>526</v>
      </c>
      <c r="D11" s="162" t="s">
        <v>527</v>
      </c>
      <c r="E11" s="162" t="s">
        <v>528</v>
      </c>
      <c r="F11" s="162" t="s">
        <v>529</v>
      </c>
      <c r="G11" s="162" t="s">
        <v>530</v>
      </c>
      <c r="H11" s="162" t="s">
        <v>531</v>
      </c>
      <c r="I11" s="162" t="s">
        <v>532</v>
      </c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  <c r="AA11" s="147"/>
    </row>
    <row r="12" spans="1:27" ht="12.75" customHeight="1">
      <c r="A12" s="283"/>
      <c r="B12" s="283"/>
      <c r="C12" s="285">
        <v>45839</v>
      </c>
      <c r="D12" s="279"/>
      <c r="E12" s="279"/>
      <c r="F12" s="279"/>
      <c r="G12" s="279"/>
      <c r="H12" s="279"/>
      <c r="I12" s="280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  <c r="AA12" s="147"/>
    </row>
    <row r="13" spans="1:27" ht="12.75" customHeight="1">
      <c r="A13" s="163"/>
      <c r="B13" s="163"/>
      <c r="C13" s="163"/>
      <c r="D13" s="163"/>
      <c r="E13" s="163">
        <v>1</v>
      </c>
      <c r="F13" s="163">
        <v>2</v>
      </c>
      <c r="G13" s="163">
        <v>3</v>
      </c>
      <c r="H13" s="164">
        <f t="shared" ref="H13:I13" si="0">G13+1</f>
        <v>4</v>
      </c>
      <c r="I13" s="164">
        <f t="shared" si="0"/>
        <v>5</v>
      </c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  <c r="AA13" s="147"/>
    </row>
    <row r="14" spans="1:27" ht="28.5" customHeight="1">
      <c r="A14" s="154" t="s">
        <v>397</v>
      </c>
      <c r="B14" s="154" t="s">
        <v>535</v>
      </c>
      <c r="C14" s="147"/>
      <c r="D14" s="147"/>
      <c r="E14" s="165"/>
      <c r="F14" s="165"/>
      <c r="G14" s="165"/>
      <c r="H14" s="165"/>
      <c r="I14" s="165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  <c r="AA14" s="147"/>
    </row>
    <row r="15" spans="1:27" ht="49.5" customHeight="1">
      <c r="A15" s="155" t="s">
        <v>82</v>
      </c>
      <c r="B15" s="155" t="s">
        <v>537</v>
      </c>
      <c r="C15" s="147"/>
      <c r="D15" s="147"/>
      <c r="E15" s="165"/>
      <c r="F15" s="165"/>
      <c r="G15" s="165"/>
      <c r="H15" s="165"/>
      <c r="I15" s="165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</row>
    <row r="16" spans="1:27" ht="49.5" customHeight="1">
      <c r="A16" s="155" t="s">
        <v>92</v>
      </c>
      <c r="B16" s="155" t="s">
        <v>540</v>
      </c>
      <c r="C16" s="147"/>
      <c r="D16" s="147"/>
      <c r="E16" s="165"/>
      <c r="F16" s="165"/>
      <c r="G16" s="165"/>
      <c r="H16" s="165"/>
      <c r="I16" s="165"/>
      <c r="J16" s="156"/>
      <c r="K16" s="156"/>
      <c r="L16" s="156"/>
      <c r="M16" s="156"/>
      <c r="N16" s="156"/>
      <c r="O16" s="156"/>
      <c r="P16" s="156"/>
      <c r="Q16" s="15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</row>
    <row r="17" spans="1:27" ht="28.5" customHeight="1">
      <c r="A17" s="157" t="s">
        <v>98</v>
      </c>
      <c r="B17" s="157" t="s">
        <v>543</v>
      </c>
      <c r="C17" s="147"/>
      <c r="D17" s="147"/>
      <c r="E17" s="165"/>
      <c r="F17" s="165"/>
      <c r="G17" s="165"/>
      <c r="H17" s="165"/>
      <c r="I17" s="165"/>
      <c r="J17" s="156"/>
      <c r="K17" s="156"/>
      <c r="L17" s="156"/>
      <c r="M17" s="156"/>
      <c r="N17" s="156"/>
      <c r="O17" s="156"/>
      <c r="P17" s="156"/>
      <c r="Q17" s="15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</row>
    <row r="18" spans="1:27" ht="49.5" customHeight="1">
      <c r="A18" s="157" t="s">
        <v>104</v>
      </c>
      <c r="B18" s="157" t="s">
        <v>546</v>
      </c>
      <c r="C18" s="147"/>
      <c r="D18" s="147"/>
      <c r="E18" s="165"/>
      <c r="F18" s="165"/>
      <c r="G18" s="165"/>
      <c r="H18" s="165"/>
      <c r="I18" s="165"/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</row>
    <row r="19" spans="1:27" ht="15.6">
      <c r="A19" s="166" t="s">
        <v>46</v>
      </c>
      <c r="B19" s="166" t="s">
        <v>47</v>
      </c>
      <c r="C19" s="147"/>
      <c r="D19" s="147"/>
      <c r="E19" s="165"/>
      <c r="F19" s="165"/>
      <c r="G19" s="165"/>
      <c r="H19" s="165"/>
      <c r="I19" s="165"/>
    </row>
    <row r="20" spans="1:27" ht="15.6">
      <c r="A20" s="166" t="s">
        <v>431</v>
      </c>
      <c r="B20" s="166" t="s">
        <v>546</v>
      </c>
      <c r="C20" s="147"/>
      <c r="D20" s="147"/>
      <c r="E20" s="165"/>
      <c r="F20" s="165"/>
      <c r="G20" s="165"/>
      <c r="H20" s="165"/>
      <c r="I20" s="165"/>
    </row>
    <row r="21" spans="1:27" ht="15.75" customHeight="1">
      <c r="A21" s="167" t="s">
        <v>26</v>
      </c>
      <c r="B21" s="167" t="s">
        <v>27</v>
      </c>
      <c r="C21" s="147"/>
      <c r="D21" s="147"/>
      <c r="E21" s="165"/>
      <c r="F21" s="165"/>
      <c r="G21" s="165"/>
      <c r="H21" s="165"/>
      <c r="I21" s="165"/>
    </row>
    <row r="22" spans="1:27" ht="15.75" customHeight="1">
      <c r="A22" s="168" t="s">
        <v>31</v>
      </c>
      <c r="B22" s="168" t="s">
        <v>551</v>
      </c>
      <c r="C22" s="147"/>
      <c r="D22" s="147"/>
      <c r="E22" s="165"/>
      <c r="F22" s="165"/>
      <c r="G22" s="165"/>
      <c r="H22" s="165"/>
      <c r="I22" s="165"/>
    </row>
    <row r="23" spans="1:27" ht="15.75" customHeight="1">
      <c r="A23" s="169" t="s">
        <v>28</v>
      </c>
      <c r="B23" s="170" t="s">
        <v>535</v>
      </c>
      <c r="C23" s="147"/>
      <c r="D23" s="147"/>
      <c r="E23" s="165"/>
      <c r="F23" s="165"/>
      <c r="G23" s="165"/>
      <c r="H23" s="165"/>
      <c r="I23" s="165"/>
    </row>
    <row r="24" spans="1:27" ht="12.75" customHeight="1">
      <c r="A24" s="171"/>
      <c r="B24" s="171"/>
      <c r="C24" s="172">
        <f>I13+1</f>
        <v>6</v>
      </c>
      <c r="D24" s="164">
        <f t="shared" ref="D24:I24" si="1">C24+1</f>
        <v>7</v>
      </c>
      <c r="E24" s="164">
        <f t="shared" si="1"/>
        <v>8</v>
      </c>
      <c r="F24" s="164">
        <f t="shared" si="1"/>
        <v>9</v>
      </c>
      <c r="G24" s="164">
        <f t="shared" si="1"/>
        <v>10</v>
      </c>
      <c r="H24" s="164">
        <f t="shared" si="1"/>
        <v>11</v>
      </c>
      <c r="I24" s="164">
        <f t="shared" si="1"/>
        <v>12</v>
      </c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  <c r="AA24" s="147"/>
    </row>
    <row r="25" spans="1:27" ht="15.75" customHeight="1">
      <c r="A25" s="165"/>
      <c r="B25" s="165"/>
      <c r="C25" s="165"/>
      <c r="D25" s="165"/>
      <c r="E25" s="165"/>
      <c r="F25" s="165"/>
      <c r="G25" s="173"/>
      <c r="H25" s="173"/>
      <c r="I25" s="173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  <c r="AA25" s="147"/>
    </row>
    <row r="26" spans="1:27" ht="15.75" customHeight="1">
      <c r="A26" s="154" t="s">
        <v>397</v>
      </c>
      <c r="B26" s="154" t="s">
        <v>535</v>
      </c>
      <c r="C26" s="165"/>
      <c r="D26" s="165"/>
      <c r="E26" s="165"/>
      <c r="F26" s="165"/>
      <c r="G26" s="173"/>
      <c r="H26" s="173"/>
      <c r="I26" s="165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  <c r="AA26" s="147"/>
    </row>
    <row r="27" spans="1:27" ht="49.5" customHeight="1">
      <c r="A27" s="155" t="s">
        <v>82</v>
      </c>
      <c r="B27" s="155" t="s">
        <v>537</v>
      </c>
      <c r="C27" s="165"/>
      <c r="D27" s="165"/>
      <c r="E27" s="165"/>
      <c r="F27" s="165"/>
      <c r="G27" s="173"/>
      <c r="H27" s="173"/>
      <c r="I27" s="174"/>
      <c r="J27" s="156"/>
      <c r="K27" s="156"/>
      <c r="L27" s="156"/>
      <c r="M27" s="156"/>
      <c r="N27" s="156"/>
      <c r="O27" s="156"/>
      <c r="P27" s="156"/>
      <c r="Q27" s="156"/>
      <c r="R27" s="156"/>
      <c r="S27" s="156"/>
      <c r="T27" s="156"/>
      <c r="U27" s="156"/>
      <c r="V27" s="156"/>
      <c r="W27" s="156"/>
      <c r="X27" s="156"/>
      <c r="Y27" s="156"/>
      <c r="Z27" s="156"/>
      <c r="AA27" s="156"/>
    </row>
    <row r="28" spans="1:27" ht="49.5" customHeight="1">
      <c r="A28" s="155" t="s">
        <v>92</v>
      </c>
      <c r="B28" s="155" t="s">
        <v>540</v>
      </c>
      <c r="C28" s="165"/>
      <c r="D28" s="165"/>
      <c r="E28" s="165"/>
      <c r="F28" s="165"/>
      <c r="G28" s="173"/>
      <c r="H28" s="173"/>
      <c r="I28" s="174"/>
      <c r="J28" s="156"/>
      <c r="K28" s="156"/>
      <c r="L28" s="156"/>
      <c r="M28" s="156"/>
      <c r="N28" s="156"/>
      <c r="O28" s="156"/>
      <c r="P28" s="156"/>
      <c r="Q28" s="156"/>
      <c r="R28" s="156"/>
      <c r="S28" s="156"/>
      <c r="T28" s="156"/>
      <c r="U28" s="156"/>
      <c r="V28" s="156"/>
      <c r="W28" s="156"/>
      <c r="X28" s="156"/>
      <c r="Y28" s="156"/>
      <c r="Z28" s="156"/>
      <c r="AA28" s="156"/>
    </row>
    <row r="29" spans="1:27" ht="15.75" customHeight="1">
      <c r="A29" s="157" t="s">
        <v>98</v>
      </c>
      <c r="B29" s="157" t="s">
        <v>543</v>
      </c>
      <c r="C29" s="165"/>
      <c r="D29" s="165"/>
      <c r="E29" s="165"/>
      <c r="F29" s="165"/>
      <c r="G29" s="173"/>
      <c r="H29" s="173"/>
      <c r="I29" s="174"/>
      <c r="J29" s="156"/>
      <c r="K29" s="156"/>
      <c r="L29" s="156"/>
      <c r="M29" s="156"/>
      <c r="N29" s="156"/>
      <c r="O29" s="156"/>
      <c r="P29" s="156"/>
      <c r="Q29" s="156"/>
      <c r="R29" s="156"/>
      <c r="S29" s="156"/>
      <c r="T29" s="156"/>
      <c r="U29" s="156"/>
      <c r="V29" s="156"/>
      <c r="W29" s="156"/>
      <c r="X29" s="156"/>
      <c r="Y29" s="156"/>
      <c r="Z29" s="156"/>
      <c r="AA29" s="156"/>
    </row>
    <row r="30" spans="1:27" ht="49.5" customHeight="1">
      <c r="A30" s="157" t="s">
        <v>104</v>
      </c>
      <c r="B30" s="157" t="s">
        <v>546</v>
      </c>
      <c r="C30" s="165"/>
      <c r="D30" s="165"/>
      <c r="E30" s="165"/>
      <c r="F30" s="165"/>
      <c r="G30" s="173"/>
      <c r="H30" s="173"/>
      <c r="I30" s="174"/>
      <c r="J30" s="156"/>
      <c r="K30" s="156"/>
      <c r="L30" s="156"/>
      <c r="M30" s="156"/>
      <c r="N30" s="156"/>
      <c r="O30" s="156"/>
      <c r="P30" s="156"/>
      <c r="Q30" s="156"/>
      <c r="R30" s="156"/>
      <c r="S30" s="156"/>
      <c r="T30" s="156"/>
      <c r="U30" s="156"/>
      <c r="V30" s="156"/>
      <c r="W30" s="156"/>
      <c r="X30" s="156"/>
      <c r="Y30" s="156"/>
      <c r="Z30" s="156"/>
      <c r="AA30" s="156"/>
    </row>
    <row r="31" spans="1:27" ht="15.75" customHeight="1">
      <c r="A31" s="166" t="s">
        <v>46</v>
      </c>
      <c r="B31" s="166" t="s">
        <v>47</v>
      </c>
      <c r="C31" s="165"/>
      <c r="D31" s="165"/>
      <c r="E31" s="165"/>
      <c r="F31" s="165"/>
      <c r="G31" s="173"/>
      <c r="H31" s="173"/>
      <c r="I31" s="174"/>
    </row>
    <row r="32" spans="1:27" ht="15.75" customHeight="1">
      <c r="A32" s="166" t="s">
        <v>431</v>
      </c>
      <c r="B32" s="166" t="s">
        <v>546</v>
      </c>
      <c r="C32" s="165"/>
      <c r="D32" s="165"/>
      <c r="E32" s="165"/>
      <c r="F32" s="165"/>
      <c r="G32" s="173"/>
      <c r="H32" s="173"/>
      <c r="I32" s="174"/>
    </row>
    <row r="33" spans="1:27" ht="15.75" customHeight="1">
      <c r="A33" s="167" t="s">
        <v>26</v>
      </c>
      <c r="B33" s="167" t="s">
        <v>27</v>
      </c>
      <c r="C33" s="165"/>
      <c r="D33" s="165"/>
      <c r="E33" s="165"/>
      <c r="F33" s="165"/>
      <c r="G33" s="173"/>
      <c r="H33" s="173"/>
      <c r="I33" s="174"/>
    </row>
    <row r="34" spans="1:27" ht="15.75" customHeight="1">
      <c r="A34" s="168" t="s">
        <v>31</v>
      </c>
      <c r="B34" s="168" t="s">
        <v>551</v>
      </c>
      <c r="C34" s="165"/>
      <c r="D34" s="165"/>
      <c r="E34" s="165"/>
      <c r="F34" s="165"/>
      <c r="G34" s="173"/>
      <c r="H34" s="173"/>
      <c r="I34" s="174"/>
    </row>
    <row r="35" spans="1:27" ht="15.75" customHeight="1">
      <c r="A35" s="169" t="s">
        <v>28</v>
      </c>
      <c r="B35" s="170" t="s">
        <v>535</v>
      </c>
      <c r="C35" s="165"/>
      <c r="D35" s="165"/>
      <c r="E35" s="165"/>
      <c r="F35" s="165"/>
      <c r="G35" s="173"/>
      <c r="H35" s="173"/>
      <c r="I35" s="174"/>
    </row>
    <row r="36" spans="1:27" ht="12.75" customHeight="1">
      <c r="A36" s="175"/>
      <c r="B36" s="175"/>
      <c r="C36" s="164">
        <f>I24+1</f>
        <v>13</v>
      </c>
      <c r="D36" s="164">
        <f t="shared" ref="D36:I36" si="2">C36+1</f>
        <v>14</v>
      </c>
      <c r="E36" s="164">
        <f t="shared" si="2"/>
        <v>15</v>
      </c>
      <c r="F36" s="164">
        <f t="shared" si="2"/>
        <v>16</v>
      </c>
      <c r="G36" s="164">
        <f t="shared" si="2"/>
        <v>17</v>
      </c>
      <c r="H36" s="164">
        <f t="shared" si="2"/>
        <v>18</v>
      </c>
      <c r="I36" s="164">
        <f t="shared" si="2"/>
        <v>19</v>
      </c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  <c r="AA36" s="147"/>
    </row>
    <row r="37" spans="1:27" ht="49.5" customHeight="1">
      <c r="A37" s="154" t="s">
        <v>397</v>
      </c>
      <c r="B37" s="154" t="s">
        <v>535</v>
      </c>
      <c r="C37" s="173"/>
      <c r="D37" s="173"/>
      <c r="E37" s="173"/>
      <c r="F37" s="173"/>
      <c r="G37" s="173"/>
      <c r="H37" s="173"/>
      <c r="I37" s="173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47"/>
    </row>
    <row r="38" spans="1:27" ht="15.75" customHeight="1">
      <c r="A38" s="155" t="s">
        <v>82</v>
      </c>
      <c r="B38" s="155" t="s">
        <v>537</v>
      </c>
      <c r="C38" s="173"/>
      <c r="D38" s="173"/>
      <c r="E38" s="173"/>
      <c r="F38" s="173"/>
      <c r="G38" s="173"/>
      <c r="H38" s="173"/>
      <c r="I38" s="173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  <c r="AA38" s="147"/>
    </row>
    <row r="39" spans="1:27" ht="15.75" customHeight="1">
      <c r="A39" s="155" t="s">
        <v>92</v>
      </c>
      <c r="B39" s="155" t="s">
        <v>540</v>
      </c>
      <c r="C39" s="173"/>
      <c r="D39" s="173"/>
      <c r="E39" s="173"/>
      <c r="F39" s="173"/>
      <c r="G39" s="173"/>
      <c r="H39" s="173"/>
      <c r="I39" s="173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  <c r="AA39" s="147"/>
    </row>
    <row r="40" spans="1:27" ht="15.75" customHeight="1">
      <c r="A40" s="157" t="s">
        <v>98</v>
      </c>
      <c r="B40" s="157" t="s">
        <v>543</v>
      </c>
      <c r="C40" s="173"/>
      <c r="D40" s="173"/>
      <c r="E40" s="173"/>
      <c r="F40" s="173"/>
      <c r="G40" s="173"/>
      <c r="H40" s="173"/>
      <c r="I40" s="173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  <c r="AA40" s="147"/>
    </row>
    <row r="41" spans="1:27" ht="15.75" customHeight="1">
      <c r="A41" s="157" t="s">
        <v>104</v>
      </c>
      <c r="B41" s="157" t="s">
        <v>546</v>
      </c>
      <c r="C41" s="173"/>
      <c r="D41" s="173"/>
      <c r="E41" s="173"/>
      <c r="F41" s="173"/>
      <c r="G41" s="173"/>
      <c r="H41" s="173"/>
      <c r="I41" s="173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47"/>
    </row>
    <row r="42" spans="1:27" ht="15.75" customHeight="1">
      <c r="A42" s="166" t="s">
        <v>46</v>
      </c>
      <c r="B42" s="166" t="s">
        <v>47</v>
      </c>
      <c r="C42" s="173"/>
      <c r="D42" s="173"/>
      <c r="E42" s="173"/>
      <c r="F42" s="173"/>
      <c r="G42" s="173"/>
      <c r="H42" s="173"/>
      <c r="I42" s="173"/>
    </row>
    <row r="43" spans="1:27" ht="15.75" customHeight="1">
      <c r="A43" s="166" t="s">
        <v>431</v>
      </c>
      <c r="B43" s="166" t="s">
        <v>546</v>
      </c>
      <c r="C43" s="173"/>
      <c r="D43" s="173"/>
      <c r="E43" s="173"/>
      <c r="F43" s="173"/>
      <c r="G43" s="173"/>
      <c r="H43" s="173"/>
      <c r="I43" s="173"/>
    </row>
    <row r="44" spans="1:27" ht="15.75" customHeight="1">
      <c r="A44" s="167" t="s">
        <v>26</v>
      </c>
      <c r="B44" s="167" t="s">
        <v>27</v>
      </c>
      <c r="C44" s="173"/>
      <c r="D44" s="173"/>
      <c r="E44" s="173"/>
      <c r="F44" s="173"/>
      <c r="G44" s="173"/>
      <c r="H44" s="173"/>
      <c r="I44" s="173"/>
    </row>
    <row r="45" spans="1:27" ht="15.75" customHeight="1">
      <c r="A45" s="168" t="s">
        <v>31</v>
      </c>
      <c r="B45" s="168" t="s">
        <v>551</v>
      </c>
      <c r="C45" s="173"/>
      <c r="D45" s="173"/>
      <c r="E45" s="173"/>
      <c r="F45" s="173"/>
      <c r="G45" s="173"/>
      <c r="H45" s="173"/>
      <c r="I45" s="173"/>
    </row>
    <row r="46" spans="1:27" ht="15.75" customHeight="1">
      <c r="A46" s="169" t="s">
        <v>28</v>
      </c>
      <c r="B46" s="170" t="s">
        <v>535</v>
      </c>
      <c r="C46" s="173"/>
      <c r="D46" s="173"/>
      <c r="E46" s="173"/>
      <c r="F46" s="173"/>
      <c r="G46" s="173"/>
      <c r="H46" s="173"/>
      <c r="I46" s="173"/>
    </row>
    <row r="47" spans="1:27" ht="12.75" customHeight="1">
      <c r="A47" s="175"/>
      <c r="B47" s="175"/>
      <c r="C47" s="164">
        <f>I36+1</f>
        <v>20</v>
      </c>
      <c r="D47" s="176">
        <f t="shared" ref="D47:I47" si="3">C47+1</f>
        <v>21</v>
      </c>
      <c r="E47" s="176">
        <f t="shared" si="3"/>
        <v>22</v>
      </c>
      <c r="F47" s="176">
        <f t="shared" si="3"/>
        <v>23</v>
      </c>
      <c r="G47" s="176">
        <f t="shared" si="3"/>
        <v>24</v>
      </c>
      <c r="H47" s="164">
        <f t="shared" si="3"/>
        <v>25</v>
      </c>
      <c r="I47" s="164">
        <f t="shared" si="3"/>
        <v>26</v>
      </c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  <c r="AA47" s="147"/>
    </row>
    <row r="48" spans="1:27" ht="49.5" customHeight="1">
      <c r="A48" s="165"/>
      <c r="B48" s="165"/>
      <c r="C48" s="177"/>
      <c r="D48" s="177"/>
      <c r="E48" s="177"/>
      <c r="F48" s="177"/>
      <c r="G48" s="177"/>
      <c r="H48" s="177"/>
      <c r="I48" s="17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  <c r="AA48" s="147"/>
    </row>
    <row r="49" spans="1:27" ht="15.75" customHeight="1">
      <c r="A49" s="154" t="s">
        <v>397</v>
      </c>
      <c r="B49" s="154" t="s">
        <v>535</v>
      </c>
      <c r="C49" s="177"/>
      <c r="D49" s="177"/>
      <c r="E49" s="177"/>
      <c r="F49" s="177"/>
      <c r="G49" s="177"/>
      <c r="H49" s="177"/>
      <c r="I49" s="17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  <c r="AA49" s="147"/>
    </row>
    <row r="50" spans="1:27" ht="15.75" customHeight="1">
      <c r="A50" s="155" t="s">
        <v>82</v>
      </c>
      <c r="B50" s="155" t="s">
        <v>537</v>
      </c>
      <c r="C50" s="177"/>
      <c r="D50" s="177"/>
      <c r="E50" s="177"/>
      <c r="F50" s="177"/>
      <c r="G50" s="177"/>
      <c r="H50" s="177"/>
      <c r="I50" s="17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  <c r="AA50" s="147"/>
    </row>
    <row r="51" spans="1:27" ht="15.75" customHeight="1">
      <c r="A51" s="155" t="s">
        <v>92</v>
      </c>
      <c r="B51" s="155" t="s">
        <v>540</v>
      </c>
      <c r="C51" s="177"/>
      <c r="D51" s="177"/>
      <c r="E51" s="177"/>
      <c r="F51" s="177"/>
      <c r="G51" s="177"/>
      <c r="H51" s="177"/>
      <c r="I51" s="17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  <c r="AA51" s="147"/>
    </row>
    <row r="52" spans="1:27" ht="15.75" customHeight="1">
      <c r="A52" s="157" t="s">
        <v>98</v>
      </c>
      <c r="B52" s="157" t="s">
        <v>543</v>
      </c>
      <c r="C52" s="177"/>
      <c r="D52" s="177"/>
      <c r="E52" s="177"/>
      <c r="F52" s="177"/>
      <c r="G52" s="177"/>
      <c r="H52" s="177"/>
      <c r="I52" s="17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  <c r="AA52" s="147"/>
    </row>
    <row r="53" spans="1:27" ht="15.75" customHeight="1">
      <c r="A53" s="157" t="s">
        <v>104</v>
      </c>
      <c r="B53" s="157" t="s">
        <v>546</v>
      </c>
      <c r="C53" s="177"/>
      <c r="D53" s="177"/>
      <c r="E53" s="177"/>
      <c r="F53" s="177"/>
      <c r="G53" s="177"/>
      <c r="H53" s="177"/>
      <c r="I53" s="17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  <c r="AA53" s="147"/>
    </row>
    <row r="54" spans="1:27" ht="15.75" customHeight="1">
      <c r="A54" s="166" t="s">
        <v>46</v>
      </c>
      <c r="B54" s="166" t="s">
        <v>47</v>
      </c>
      <c r="C54" s="177"/>
      <c r="D54" s="177"/>
      <c r="E54" s="177"/>
      <c r="F54" s="177"/>
      <c r="G54" s="177"/>
      <c r="H54" s="177"/>
      <c r="I54" s="177"/>
    </row>
    <row r="55" spans="1:27" ht="15.75" customHeight="1">
      <c r="A55" s="166" t="s">
        <v>431</v>
      </c>
      <c r="B55" s="166" t="s">
        <v>546</v>
      </c>
      <c r="C55" s="177"/>
      <c r="D55" s="177"/>
      <c r="E55" s="177"/>
      <c r="F55" s="177"/>
      <c r="G55" s="177"/>
      <c r="H55" s="177"/>
      <c r="I55" s="177"/>
    </row>
    <row r="56" spans="1:27" ht="15.75" customHeight="1">
      <c r="A56" s="167" t="s">
        <v>26</v>
      </c>
      <c r="B56" s="167" t="s">
        <v>27</v>
      </c>
      <c r="C56" s="177"/>
      <c r="D56" s="177"/>
      <c r="E56" s="177"/>
      <c r="F56" s="177"/>
      <c r="G56" s="177"/>
      <c r="H56" s="177"/>
      <c r="I56" s="177"/>
    </row>
    <row r="57" spans="1:27" ht="15.75" customHeight="1">
      <c r="A57" s="168" t="s">
        <v>31</v>
      </c>
      <c r="B57" s="168" t="s">
        <v>551</v>
      </c>
      <c r="C57" s="177"/>
      <c r="D57" s="177"/>
      <c r="E57" s="177"/>
      <c r="F57" s="177"/>
      <c r="G57" s="177"/>
      <c r="H57" s="177"/>
      <c r="I57" s="177"/>
    </row>
    <row r="58" spans="1:27" ht="15.75" customHeight="1">
      <c r="A58" s="169" t="s">
        <v>28</v>
      </c>
      <c r="B58" s="170" t="s">
        <v>535</v>
      </c>
      <c r="C58" s="177"/>
      <c r="D58" s="177"/>
      <c r="E58" s="177"/>
      <c r="F58" s="177"/>
      <c r="G58" s="177"/>
      <c r="H58" s="177"/>
      <c r="I58" s="177"/>
    </row>
    <row r="59" spans="1:27" ht="12" customHeight="1">
      <c r="A59" s="175"/>
      <c r="B59" s="175"/>
      <c r="C59" s="178">
        <f>I47+1</f>
        <v>27</v>
      </c>
      <c r="D59" s="178">
        <f t="shared" ref="D59:G59" si="4">C59+1</f>
        <v>28</v>
      </c>
      <c r="E59" s="178">
        <f t="shared" si="4"/>
        <v>29</v>
      </c>
      <c r="F59" s="179">
        <f t="shared" si="4"/>
        <v>30</v>
      </c>
      <c r="G59" s="179">
        <f t="shared" si="4"/>
        <v>31</v>
      </c>
      <c r="H59" s="180"/>
      <c r="I59" s="180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  <c r="AA59" s="147"/>
    </row>
    <row r="60" spans="1:27" ht="36.75" customHeight="1">
      <c r="A60" s="181"/>
      <c r="B60" s="181"/>
      <c r="C60" s="181"/>
      <c r="D60" s="181"/>
      <c r="E60" s="181"/>
      <c r="F60" s="182"/>
      <c r="G60" s="182"/>
      <c r="H60" s="183"/>
      <c r="I60" s="183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  <c r="AA60" s="147"/>
    </row>
    <row r="61" spans="1:27" ht="15.75" customHeight="1">
      <c r="A61" s="154" t="s">
        <v>397</v>
      </c>
      <c r="B61" s="154" t="s">
        <v>535</v>
      </c>
      <c r="C61" s="181"/>
      <c r="D61" s="181"/>
      <c r="E61" s="181"/>
      <c r="F61" s="182"/>
      <c r="G61" s="182"/>
      <c r="H61" s="183"/>
      <c r="I61" s="183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  <c r="AA61" s="147"/>
    </row>
    <row r="62" spans="1:27" ht="15.75" customHeight="1">
      <c r="A62" s="155" t="s">
        <v>82</v>
      </c>
      <c r="B62" s="155" t="s">
        <v>537</v>
      </c>
      <c r="C62" s="181"/>
      <c r="D62" s="181"/>
      <c r="E62" s="181"/>
      <c r="F62" s="182"/>
      <c r="G62" s="182"/>
      <c r="H62" s="180"/>
      <c r="I62" s="180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  <c r="AA62" s="147"/>
    </row>
    <row r="63" spans="1:27" ht="15.75" customHeight="1">
      <c r="A63" s="155" t="s">
        <v>92</v>
      </c>
      <c r="B63" s="155" t="s">
        <v>540</v>
      </c>
      <c r="C63" s="181"/>
      <c r="D63" s="181"/>
      <c r="E63" s="181"/>
      <c r="F63" s="182"/>
      <c r="G63" s="182"/>
      <c r="H63" s="180"/>
      <c r="I63" s="180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</row>
    <row r="64" spans="1:27" ht="15.75" customHeight="1">
      <c r="A64" s="157" t="s">
        <v>98</v>
      </c>
      <c r="B64" s="157" t="s">
        <v>543</v>
      </c>
      <c r="C64" s="181"/>
      <c r="D64" s="181"/>
      <c r="E64" s="181"/>
      <c r="F64" s="182"/>
      <c r="G64" s="182"/>
      <c r="H64" s="180"/>
      <c r="I64" s="180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  <c r="AA64" s="147"/>
    </row>
    <row r="65" spans="1:27" ht="15.75" customHeight="1">
      <c r="A65" s="157" t="s">
        <v>104</v>
      </c>
      <c r="B65" s="157" t="s">
        <v>546</v>
      </c>
      <c r="C65" s="181"/>
      <c r="D65" s="181"/>
      <c r="E65" s="181"/>
      <c r="F65" s="182"/>
      <c r="G65" s="182"/>
      <c r="H65" s="180"/>
      <c r="I65" s="180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  <c r="AA65" s="147"/>
    </row>
    <row r="66" spans="1:27" ht="49.5" customHeight="1">
      <c r="A66" s="166" t="s">
        <v>46</v>
      </c>
      <c r="B66" s="166" t="s">
        <v>47</v>
      </c>
      <c r="C66" s="181"/>
      <c r="D66" s="181"/>
      <c r="E66" s="181"/>
      <c r="F66" s="182"/>
      <c r="G66" s="182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  <c r="AA66" s="147"/>
    </row>
    <row r="67" spans="1:27" ht="12.75" customHeight="1">
      <c r="A67" s="166" t="s">
        <v>431</v>
      </c>
      <c r="B67" s="166" t="s">
        <v>546</v>
      </c>
      <c r="C67" s="181"/>
      <c r="D67" s="181"/>
      <c r="E67" s="181"/>
      <c r="F67" s="182"/>
      <c r="G67" s="182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  <c r="AA67" s="147"/>
    </row>
    <row r="68" spans="1:27" ht="12.75" customHeight="1">
      <c r="A68" s="167" t="s">
        <v>26</v>
      </c>
      <c r="B68" s="167" t="s">
        <v>27</v>
      </c>
      <c r="C68" s="181"/>
      <c r="D68" s="181"/>
      <c r="E68" s="181"/>
      <c r="F68" s="182"/>
      <c r="G68" s="182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  <c r="AA68" s="147"/>
    </row>
    <row r="69" spans="1:27" ht="12.75" customHeight="1">
      <c r="A69" s="168" t="s">
        <v>31</v>
      </c>
      <c r="B69" s="168" t="s">
        <v>551</v>
      </c>
      <c r="C69" s="181"/>
      <c r="D69" s="181"/>
      <c r="E69" s="181"/>
      <c r="F69" s="182"/>
      <c r="G69" s="182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</row>
    <row r="70" spans="1:27" ht="12.75" customHeight="1">
      <c r="A70" s="169" t="s">
        <v>28</v>
      </c>
      <c r="B70" s="170" t="s">
        <v>535</v>
      </c>
      <c r="C70" s="181"/>
      <c r="D70" s="181"/>
      <c r="E70" s="181"/>
      <c r="F70" s="182"/>
      <c r="G70" s="182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  <c r="AA70" s="147"/>
    </row>
    <row r="71" spans="1:27" ht="12.75" customHeight="1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  <c r="AA71" s="147"/>
    </row>
    <row r="72" spans="1:27" ht="12.75" customHeight="1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  <c r="AA72" s="147"/>
    </row>
    <row r="73" spans="1:27" ht="12.75" customHeight="1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  <c r="AA73" s="147"/>
    </row>
    <row r="74" spans="1:27" ht="12.75" customHeight="1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  <c r="AA74" s="147"/>
    </row>
    <row r="75" spans="1:27" ht="12.75" customHeight="1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  <c r="AA75" s="147"/>
    </row>
    <row r="76" spans="1:27" ht="12.75" customHeight="1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  <c r="AA76" s="147"/>
    </row>
    <row r="77" spans="1:27" ht="12.75" customHeight="1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  <c r="AA77" s="147"/>
    </row>
    <row r="78" spans="1:27" ht="12.75" customHeight="1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</row>
    <row r="79" spans="1:27" ht="12.75" customHeight="1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  <c r="AA79" s="147"/>
    </row>
    <row r="80" spans="1:27" ht="12.75" customHeight="1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  <c r="AA80" s="147"/>
    </row>
    <row r="81" spans="1:27" ht="12.75" customHeight="1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  <c r="AA81" s="147"/>
    </row>
    <row r="82" spans="1:27" ht="12.75" customHeight="1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  <c r="AA82" s="147"/>
    </row>
    <row r="83" spans="1:27" ht="12.75" customHeight="1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  <c r="AA83" s="147"/>
    </row>
    <row r="84" spans="1:27" ht="12.75" customHeight="1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  <c r="AA84" s="147"/>
    </row>
    <row r="85" spans="1:27" ht="12.75" customHeight="1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  <c r="AA85" s="147"/>
    </row>
    <row r="86" spans="1:27" ht="12.75" customHeight="1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  <c r="AA86" s="147"/>
    </row>
    <row r="87" spans="1:27" ht="12.75" customHeight="1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  <c r="AA87" s="147"/>
    </row>
    <row r="88" spans="1:27" ht="12.75" customHeight="1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  <c r="AA88" s="147"/>
    </row>
    <row r="89" spans="1:27" ht="12.75" customHeight="1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  <c r="AA89" s="147"/>
    </row>
    <row r="90" spans="1:27" ht="12.75" customHeight="1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47"/>
    </row>
    <row r="91" spans="1:27" ht="12.75" customHeight="1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  <c r="AA91" s="147"/>
    </row>
    <row r="92" spans="1:27" ht="12.75" customHeight="1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  <c r="AA92" s="147"/>
    </row>
    <row r="93" spans="1:27" ht="12.75" customHeight="1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  <c r="AA93" s="147"/>
    </row>
    <row r="94" spans="1:27" ht="12.75" customHeight="1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  <c r="AA94" s="147"/>
    </row>
    <row r="95" spans="1:27" ht="12.75" customHeight="1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  <c r="AA95" s="147"/>
    </row>
    <row r="96" spans="1:27" ht="12.75" customHeight="1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  <c r="AA96" s="147"/>
    </row>
    <row r="97" spans="1:27" ht="12.75" customHeight="1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  <c r="AA97" s="147"/>
    </row>
    <row r="98" spans="1:27" ht="12.75" customHeight="1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  <c r="AA98" s="147"/>
    </row>
    <row r="99" spans="1:27" ht="12.75" customHeight="1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  <c r="AA99" s="147"/>
    </row>
    <row r="100" spans="1:27" ht="12.75" customHeight="1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</row>
    <row r="101" spans="1:27" ht="12.75" customHeight="1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</row>
    <row r="102" spans="1:27" ht="12.75" customHeight="1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</row>
    <row r="103" spans="1:27" ht="12.75" customHeight="1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</row>
    <row r="104" spans="1:27" ht="12.75" customHeight="1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</row>
    <row r="105" spans="1:27" ht="12.75" customHeight="1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</row>
    <row r="106" spans="1:27" ht="12.75" customHeight="1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</row>
    <row r="107" spans="1:27" ht="12.75" customHeight="1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</row>
    <row r="108" spans="1:27" ht="12.75" customHeight="1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</row>
    <row r="109" spans="1:27" ht="12.75" customHeight="1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</row>
    <row r="110" spans="1:27" ht="12.75" customHeight="1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</row>
    <row r="111" spans="1:27" ht="12.75" customHeight="1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</row>
    <row r="112" spans="1:27" ht="12.75" customHeight="1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</row>
    <row r="113" spans="1:27" ht="12.75" customHeight="1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</row>
    <row r="114" spans="1:27" ht="12.75" customHeight="1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</row>
    <row r="115" spans="1:27" ht="12.75" customHeight="1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</row>
    <row r="116" spans="1:27" ht="12.75" customHeight="1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</row>
    <row r="117" spans="1:27" ht="12.75" customHeight="1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</row>
    <row r="118" spans="1:27" ht="12.75" customHeight="1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</row>
    <row r="119" spans="1:27" ht="12.75" customHeight="1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</row>
    <row r="120" spans="1:27" ht="12.75" customHeight="1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</row>
    <row r="121" spans="1:27" ht="12.75" customHeight="1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</row>
    <row r="122" spans="1:27" ht="12.75" customHeight="1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</row>
    <row r="123" spans="1:27" ht="12.75" customHeight="1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</row>
    <row r="124" spans="1:27" ht="12.75" customHeight="1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</row>
    <row r="125" spans="1:27" ht="12.75" customHeight="1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</row>
    <row r="126" spans="1:27" ht="12.75" customHeight="1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</row>
    <row r="127" spans="1:27" ht="12.75" customHeight="1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</row>
    <row r="128" spans="1:27" ht="12.75" customHeight="1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</row>
    <row r="129" spans="1:27" ht="12.75" customHeight="1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</row>
    <row r="130" spans="1:27" ht="12.75" customHeight="1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</row>
    <row r="131" spans="1:27" ht="12.75" customHeight="1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</row>
    <row r="132" spans="1:27" ht="12.75" customHeight="1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</row>
    <row r="133" spans="1:27" ht="12.75" customHeight="1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</row>
    <row r="134" spans="1:27" ht="12.75" customHeight="1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</row>
    <row r="135" spans="1:27" ht="12.75" customHeight="1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</row>
    <row r="136" spans="1:27" ht="12.75" customHeight="1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</row>
    <row r="137" spans="1:27" ht="12.75" customHeight="1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</row>
    <row r="138" spans="1:27" ht="12.75" customHeight="1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</row>
    <row r="139" spans="1:27" ht="12.75" customHeight="1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</row>
    <row r="140" spans="1:27" ht="12.75" customHeight="1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</row>
    <row r="141" spans="1:27" ht="12.75" customHeight="1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</row>
    <row r="142" spans="1:27" ht="12.75" customHeight="1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</row>
    <row r="143" spans="1:27" ht="12.75" customHeight="1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</row>
    <row r="144" spans="1:27" ht="12.75" customHeight="1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</row>
    <row r="145" spans="1:27" ht="12.75" customHeight="1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</row>
    <row r="146" spans="1:27" ht="12.75" customHeight="1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</row>
    <row r="147" spans="1:27" ht="12.75" customHeight="1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</row>
    <row r="148" spans="1:27" ht="12.75" customHeight="1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</row>
    <row r="149" spans="1:27" ht="12.75" customHeight="1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</row>
    <row r="150" spans="1:27" ht="12.75" customHeight="1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</row>
    <row r="151" spans="1:27" ht="12.75" customHeight="1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</row>
    <row r="152" spans="1:27" ht="12.75" customHeight="1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</row>
    <row r="153" spans="1:27" ht="12.75" customHeight="1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</row>
    <row r="154" spans="1:27" ht="12.75" customHeight="1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</row>
    <row r="155" spans="1:27" ht="12.75" customHeight="1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</row>
    <row r="156" spans="1:27" ht="12.75" customHeight="1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</row>
    <row r="157" spans="1:27" ht="12.75" customHeight="1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</row>
    <row r="158" spans="1:27" ht="12.75" customHeight="1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</row>
    <row r="159" spans="1:27" ht="12.75" customHeight="1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</row>
    <row r="160" spans="1:27" ht="12.75" customHeight="1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</row>
    <row r="161" spans="1:27" ht="12.75" customHeight="1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</row>
    <row r="162" spans="1:27" ht="12.75" customHeight="1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</row>
    <row r="163" spans="1:27" ht="12.75" customHeight="1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</row>
    <row r="164" spans="1:27" ht="12.75" customHeight="1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</row>
    <row r="165" spans="1:27" ht="12.75" customHeight="1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</row>
    <row r="166" spans="1:27" ht="12.75" customHeight="1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</row>
    <row r="167" spans="1:27" ht="12.75" customHeight="1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</row>
    <row r="168" spans="1:27" ht="12.75" customHeight="1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</row>
    <row r="169" spans="1:27" ht="12.75" customHeight="1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</row>
    <row r="170" spans="1:27" ht="12.75" customHeight="1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</row>
    <row r="171" spans="1:27" ht="12.75" customHeight="1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</row>
    <row r="172" spans="1:27" ht="12.75" customHeight="1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</row>
    <row r="173" spans="1:27" ht="12.75" customHeight="1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</row>
    <row r="174" spans="1:27" ht="12.75" customHeight="1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</row>
    <row r="175" spans="1:27" ht="12.75" customHeight="1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</row>
    <row r="176" spans="1:27" ht="12.75" customHeight="1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</row>
    <row r="177" spans="1:27" ht="12.75" customHeight="1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</row>
    <row r="178" spans="1:27" ht="12.75" customHeight="1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</row>
    <row r="179" spans="1:27" ht="12.75" customHeight="1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</row>
    <row r="180" spans="1:27" ht="12.75" customHeight="1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</row>
    <row r="181" spans="1:27" ht="12.75" customHeight="1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</row>
    <row r="182" spans="1:27" ht="12.75" customHeight="1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</row>
    <row r="183" spans="1:27" ht="12.75" customHeight="1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</row>
    <row r="184" spans="1:27" ht="12.75" customHeight="1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</row>
    <row r="185" spans="1:27" ht="12.75" customHeight="1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</row>
    <row r="186" spans="1:27" ht="12.75" customHeight="1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</row>
    <row r="187" spans="1:27" ht="12.75" customHeight="1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</row>
    <row r="188" spans="1:27" ht="12.75" customHeight="1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</row>
    <row r="189" spans="1:27" ht="12.75" customHeight="1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</row>
    <row r="190" spans="1:27" ht="12.75" customHeight="1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</row>
    <row r="191" spans="1:27" ht="12.75" customHeight="1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</row>
    <row r="192" spans="1:27" ht="12.75" customHeight="1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</row>
    <row r="193" spans="1:27" ht="12.75" customHeight="1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</row>
    <row r="194" spans="1:27" ht="12.75" customHeight="1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</row>
    <row r="195" spans="1:27" ht="12.75" customHeight="1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</row>
    <row r="196" spans="1:27" ht="12.75" customHeight="1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</row>
    <row r="197" spans="1:27" ht="12.75" customHeight="1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</row>
    <row r="198" spans="1:27" ht="12.75" customHeight="1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</row>
    <row r="199" spans="1:27" ht="12.75" customHeight="1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</row>
    <row r="200" spans="1:27" ht="12.75" customHeight="1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</row>
    <row r="201" spans="1:27" ht="12.75" customHeight="1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</row>
    <row r="202" spans="1:27" ht="12.75" customHeight="1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</row>
    <row r="203" spans="1:27" ht="12.75" customHeight="1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</row>
    <row r="204" spans="1:27" ht="12.75" customHeight="1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</row>
    <row r="205" spans="1:27" ht="12.75" customHeight="1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</row>
    <row r="206" spans="1:27" ht="12.75" customHeight="1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</row>
    <row r="207" spans="1:27" ht="12.75" customHeight="1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</row>
    <row r="208" spans="1:27" ht="12.75" customHeight="1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</row>
    <row r="209" spans="1:27" ht="12.75" customHeight="1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</row>
    <row r="210" spans="1:27" ht="12.75" customHeight="1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</row>
    <row r="211" spans="1:27" ht="12.75" customHeight="1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</row>
    <row r="212" spans="1:27" ht="12.75" customHeight="1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</row>
    <row r="213" spans="1:27" ht="12.75" customHeight="1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</row>
    <row r="214" spans="1:27" ht="12.75" customHeight="1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</row>
    <row r="215" spans="1:27" ht="12.75" customHeight="1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</row>
    <row r="216" spans="1:27" ht="12.75" customHeight="1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</row>
    <row r="217" spans="1:27" ht="12.75" customHeight="1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</row>
    <row r="218" spans="1:27" ht="12.75" customHeight="1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</row>
    <row r="219" spans="1:27" ht="12.75" customHeight="1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</row>
    <row r="220" spans="1:27" ht="12.75" customHeight="1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</row>
    <row r="221" spans="1:27" ht="12.75" customHeight="1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</row>
    <row r="222" spans="1:27" ht="12.75" customHeight="1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</row>
    <row r="223" spans="1:27" ht="12.75" customHeight="1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</row>
    <row r="224" spans="1:27" ht="12.75" customHeight="1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</row>
    <row r="225" spans="1:27" ht="12.75" customHeight="1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</row>
    <row r="226" spans="1:27" ht="12.75" customHeight="1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</row>
    <row r="227" spans="1:27" ht="12.75" customHeight="1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</row>
    <row r="228" spans="1:27" ht="12.75" customHeight="1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</row>
    <row r="229" spans="1:27" ht="12.75" customHeight="1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</row>
    <row r="230" spans="1:27" ht="12.75" customHeight="1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</row>
    <row r="231" spans="1:27" ht="12.75" customHeight="1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</row>
    <row r="232" spans="1:27" ht="12.75" customHeight="1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</row>
    <row r="233" spans="1:27" ht="12.75" customHeight="1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</row>
    <row r="234" spans="1:27" ht="12.75" customHeight="1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</row>
    <row r="235" spans="1:27" ht="12.75" customHeight="1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</row>
    <row r="236" spans="1:27" ht="12.75" customHeight="1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</row>
    <row r="237" spans="1:27" ht="12.75" customHeight="1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</row>
    <row r="238" spans="1:27" ht="12.75" customHeight="1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</row>
    <row r="239" spans="1:27" ht="12.75" customHeight="1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</row>
    <row r="240" spans="1:27" ht="12.75" customHeight="1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</row>
    <row r="241" spans="1:27" ht="12.75" customHeight="1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</row>
    <row r="242" spans="1:27" ht="12.75" customHeight="1">
      <c r="A242" s="147"/>
      <c r="B242" s="147"/>
      <c r="C242" s="147"/>
      <c r="D242" s="147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</row>
    <row r="243" spans="1:27" ht="12.75" customHeight="1">
      <c r="A243" s="147"/>
      <c r="B243" s="147"/>
      <c r="C243" s="147"/>
      <c r="D243" s="147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</row>
    <row r="244" spans="1:27" ht="12.75" customHeight="1">
      <c r="A244" s="147"/>
      <c r="B244" s="147"/>
      <c r="C244" s="147"/>
      <c r="D244" s="147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</row>
    <row r="245" spans="1:27" ht="12.75" customHeight="1">
      <c r="A245" s="147"/>
      <c r="B245" s="147"/>
      <c r="C245" s="147"/>
      <c r="D245" s="147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</row>
    <row r="246" spans="1:27" ht="12.75" customHeight="1">
      <c r="A246" s="147"/>
      <c r="B246" s="147"/>
      <c r="C246" s="147"/>
      <c r="D246" s="147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</row>
    <row r="247" spans="1:27" ht="12.75" customHeight="1">
      <c r="A247" s="147"/>
      <c r="B247" s="147"/>
      <c r="C247" s="147"/>
      <c r="D247" s="147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</row>
    <row r="248" spans="1:27" ht="12.75" customHeight="1">
      <c r="A248" s="147"/>
      <c r="B248" s="147"/>
      <c r="C248" s="147"/>
      <c r="D248" s="147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</row>
    <row r="249" spans="1:27" ht="12.75" customHeight="1">
      <c r="A249" s="147"/>
      <c r="B249" s="147"/>
      <c r="C249" s="147"/>
      <c r="D249" s="147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</row>
    <row r="250" spans="1:27" ht="12.75" customHeight="1">
      <c r="A250" s="147"/>
      <c r="B250" s="147"/>
      <c r="C250" s="147"/>
      <c r="D250" s="147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</row>
    <row r="251" spans="1:27" ht="12.75" customHeight="1">
      <c r="A251" s="147"/>
      <c r="B251" s="147"/>
      <c r="C251" s="147"/>
      <c r="D251" s="147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</row>
    <row r="252" spans="1:27" ht="12.75" customHeight="1">
      <c r="A252" s="147"/>
      <c r="B252" s="147"/>
      <c r="C252" s="147"/>
      <c r="D252" s="147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</row>
    <row r="253" spans="1:27" ht="12.75" customHeight="1">
      <c r="A253" s="147"/>
      <c r="B253" s="147"/>
      <c r="C253" s="147"/>
      <c r="D253" s="147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</row>
    <row r="254" spans="1:27" ht="12.75" customHeight="1">
      <c r="A254" s="147"/>
      <c r="B254" s="147"/>
      <c r="C254" s="147"/>
      <c r="D254" s="147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</row>
    <row r="255" spans="1:27" ht="12.75" customHeight="1">
      <c r="A255" s="147"/>
      <c r="B255" s="147"/>
      <c r="C255" s="147"/>
      <c r="D255" s="147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</row>
    <row r="256" spans="1:27" ht="12.75" customHeight="1">
      <c r="A256" s="147"/>
      <c r="B256" s="147"/>
      <c r="C256" s="147"/>
      <c r="D256" s="147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</row>
    <row r="257" spans="1:27" ht="15.75" customHeight="1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  <c r="AA257" s="184"/>
    </row>
    <row r="258" spans="1:27" ht="15.75" customHeight="1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  <c r="AA258" s="184"/>
    </row>
    <row r="259" spans="1:27" ht="15.75" customHeight="1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  <c r="AA259" s="184"/>
    </row>
    <row r="260" spans="1:27" ht="15.75" customHeight="1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  <c r="AA260" s="184"/>
    </row>
    <row r="261" spans="1:27" ht="15.75" customHeight="1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  <c r="AA261" s="184"/>
    </row>
    <row r="262" spans="1:27" ht="15.75" customHeight="1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  <c r="AA262" s="184"/>
    </row>
    <row r="263" spans="1:27" ht="15.75" customHeight="1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  <c r="AA263" s="184"/>
    </row>
    <row r="264" spans="1:27" ht="15.75" customHeight="1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  <c r="AA264" s="184"/>
    </row>
    <row r="265" spans="1:27" ht="15.75" customHeight="1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  <c r="AA265" s="184"/>
    </row>
    <row r="266" spans="1:27" ht="15.75" customHeight="1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  <c r="AA266" s="184"/>
    </row>
    <row r="267" spans="1:27" ht="15.75" customHeight="1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  <c r="AA267" s="184"/>
    </row>
    <row r="268" spans="1:27" ht="15.75" customHeight="1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  <c r="AA268" s="184"/>
    </row>
    <row r="269" spans="1:27" ht="15.75" customHeight="1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  <c r="AA269" s="184"/>
    </row>
    <row r="270" spans="1:27" ht="15.75" customHeight="1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  <c r="AA270" s="184"/>
    </row>
    <row r="271" spans="1:27" ht="15.75" customHeight="1"/>
    <row r="272" spans="1:27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ageMargins left="0" right="0" top="0" bottom="0" header="0" footer="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FF00"/>
    <pageSetUpPr fitToPage="1"/>
  </sheetPr>
  <dimension ref="A1:AA1000"/>
  <sheetViews>
    <sheetView showGridLines="0" workbookViewId="0"/>
  </sheetViews>
  <sheetFormatPr defaultColWidth="12.6640625" defaultRowHeight="15" customHeight="1"/>
  <cols>
    <col min="1" max="1" width="25.6640625" customWidth="1"/>
    <col min="2" max="2" width="32.33203125" customWidth="1"/>
    <col min="3" max="9" width="40.6640625" customWidth="1"/>
    <col min="10" max="27" width="17.33203125" customWidth="1"/>
  </cols>
  <sheetData>
    <row r="1" spans="1:27" ht="15" customHeight="1">
      <c r="A1" s="281" t="s">
        <v>515</v>
      </c>
      <c r="B1" s="274"/>
      <c r="C1" s="274"/>
      <c r="D1" s="274"/>
      <c r="E1" s="274"/>
      <c r="F1" s="274"/>
      <c r="G1" s="274"/>
      <c r="H1" s="274"/>
      <c r="I1" s="274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spans="1:27" ht="15" customHeight="1">
      <c r="A2" s="281" t="s">
        <v>516</v>
      </c>
      <c r="B2" s="274"/>
      <c r="C2" s="274"/>
      <c r="D2" s="274"/>
      <c r="E2" s="274"/>
      <c r="F2" s="274"/>
      <c r="G2" s="274"/>
      <c r="H2" s="274"/>
      <c r="I2" s="274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spans="1:27" ht="15" customHeight="1">
      <c r="A3" s="281" t="s">
        <v>517</v>
      </c>
      <c r="B3" s="274"/>
      <c r="C3" s="274"/>
      <c r="D3" s="274"/>
      <c r="E3" s="274"/>
      <c r="F3" s="274"/>
      <c r="G3" s="274"/>
      <c r="H3" s="274"/>
      <c r="I3" s="274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spans="1:27" ht="15" customHeight="1">
      <c r="A4" s="281" t="s">
        <v>518</v>
      </c>
      <c r="B4" s="274"/>
      <c r="C4" s="274"/>
      <c r="D4" s="274"/>
      <c r="E4" s="274"/>
      <c r="F4" s="274"/>
      <c r="G4" s="274"/>
      <c r="H4" s="274"/>
      <c r="I4" s="274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spans="1:27" ht="15" customHeight="1">
      <c r="A5" s="159"/>
      <c r="B5" s="159"/>
      <c r="C5" s="159"/>
      <c r="D5" s="159"/>
      <c r="E5" s="159"/>
      <c r="F5" s="159"/>
      <c r="G5" s="159"/>
      <c r="H5" s="159"/>
      <c r="I5" s="159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spans="1:27" ht="15" customHeight="1">
      <c r="A6" s="140" t="s">
        <v>519</v>
      </c>
      <c r="B6" s="140"/>
      <c r="C6" s="140"/>
      <c r="D6" s="140"/>
      <c r="E6" s="140"/>
      <c r="F6" s="141"/>
      <c r="G6" s="141"/>
      <c r="H6" s="141"/>
      <c r="I6" s="160" t="s">
        <v>520</v>
      </c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38"/>
    </row>
    <row r="7" spans="1:27" ht="15" customHeight="1">
      <c r="A7" s="140"/>
      <c r="B7" s="140"/>
      <c r="C7" s="140"/>
      <c r="D7" s="140"/>
      <c r="E7" s="140"/>
      <c r="F7" s="141"/>
      <c r="G7" s="141"/>
      <c r="H7" s="141"/>
      <c r="I7" s="160" t="s">
        <v>521</v>
      </c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38"/>
    </row>
    <row r="8" spans="1:27" ht="15" customHeight="1">
      <c r="A8" s="140"/>
      <c r="B8" s="140"/>
      <c r="C8" s="140"/>
      <c r="D8" s="140"/>
      <c r="E8" s="140"/>
      <c r="F8" s="141"/>
      <c r="G8" s="141"/>
      <c r="H8" s="141"/>
      <c r="I8" s="160" t="s">
        <v>522</v>
      </c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38"/>
    </row>
    <row r="9" spans="1:27" ht="15" customHeight="1">
      <c r="A9" s="140"/>
      <c r="B9" s="140"/>
      <c r="C9" s="140"/>
      <c r="D9" s="140"/>
      <c r="E9" s="140"/>
      <c r="F9" s="141"/>
      <c r="G9" s="141"/>
      <c r="H9" s="141"/>
      <c r="I9" s="160" t="s">
        <v>550</v>
      </c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38"/>
    </row>
    <row r="10" spans="1:27" ht="15" customHeight="1">
      <c r="A10" s="140"/>
      <c r="B10" s="140"/>
      <c r="C10" s="140"/>
      <c r="D10" s="140"/>
      <c r="E10" s="140"/>
      <c r="F10" s="144"/>
      <c r="G10" s="144"/>
      <c r="H10" s="144"/>
      <c r="I10" s="161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  <c r="AA10" s="145"/>
    </row>
    <row r="11" spans="1:27" ht="12.75" customHeight="1">
      <c r="A11" s="275" t="s">
        <v>524</v>
      </c>
      <c r="B11" s="277" t="s">
        <v>525</v>
      </c>
      <c r="C11" s="146" t="s">
        <v>526</v>
      </c>
      <c r="D11" s="146" t="s">
        <v>527</v>
      </c>
      <c r="E11" s="146" t="s">
        <v>528</v>
      </c>
      <c r="F11" s="146" t="s">
        <v>529</v>
      </c>
      <c r="G11" s="146" t="s">
        <v>530</v>
      </c>
      <c r="H11" s="146" t="s">
        <v>531</v>
      </c>
      <c r="I11" s="146" t="s">
        <v>532</v>
      </c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  <c r="AA11" s="147"/>
    </row>
    <row r="12" spans="1:27" ht="12.75" customHeight="1">
      <c r="A12" s="276"/>
      <c r="B12" s="276"/>
      <c r="C12" s="278">
        <v>45871</v>
      </c>
      <c r="D12" s="279"/>
      <c r="E12" s="279"/>
      <c r="F12" s="279"/>
      <c r="G12" s="279"/>
      <c r="H12" s="279"/>
      <c r="I12" s="280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  <c r="AA12" s="147"/>
    </row>
    <row r="13" spans="1:27" ht="12.75" customHeight="1">
      <c r="A13" s="148"/>
      <c r="B13" s="149"/>
      <c r="C13" s="185"/>
      <c r="D13" s="185"/>
      <c r="E13" s="185"/>
      <c r="F13" s="185"/>
      <c r="G13" s="150"/>
      <c r="H13" s="150">
        <f t="shared" ref="H13:I13" si="0">G13+1</f>
        <v>1</v>
      </c>
      <c r="I13" s="150">
        <f t="shared" si="0"/>
        <v>2</v>
      </c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  <c r="AA13" s="147"/>
    </row>
    <row r="14" spans="1:27" ht="14.4">
      <c r="A14" s="186"/>
      <c r="B14" s="187"/>
      <c r="C14" s="188"/>
      <c r="D14" s="188"/>
      <c r="E14" s="189"/>
      <c r="F14" s="189"/>
      <c r="G14" s="189"/>
      <c r="H14" s="190"/>
      <c r="I14" s="190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  <c r="AA14" s="147"/>
    </row>
    <row r="15" spans="1:27" ht="14.4">
      <c r="A15" s="191" t="s">
        <v>552</v>
      </c>
      <c r="B15" s="191" t="s">
        <v>47</v>
      </c>
      <c r="C15" s="188"/>
      <c r="D15" s="188"/>
      <c r="E15" s="189"/>
      <c r="F15" s="189"/>
      <c r="G15" s="189"/>
      <c r="H15" s="190"/>
      <c r="I15" s="190"/>
    </row>
    <row r="16" spans="1:27" ht="14.4">
      <c r="A16" s="191" t="s">
        <v>553</v>
      </c>
      <c r="B16" s="191" t="s">
        <v>546</v>
      </c>
      <c r="C16" s="188"/>
      <c r="D16" s="188"/>
      <c r="E16" s="189"/>
      <c r="F16" s="189"/>
      <c r="G16" s="189"/>
      <c r="H16" s="190"/>
      <c r="I16" s="190"/>
    </row>
    <row r="17" spans="1:27" ht="14.4">
      <c r="A17" s="192" t="s">
        <v>554</v>
      </c>
      <c r="B17" s="192" t="s">
        <v>27</v>
      </c>
      <c r="C17" s="188"/>
      <c r="D17" s="188"/>
      <c r="E17" s="189"/>
      <c r="F17" s="189"/>
      <c r="G17" s="189"/>
      <c r="H17" s="190"/>
      <c r="I17" s="190"/>
    </row>
    <row r="18" spans="1:27" ht="14.4">
      <c r="A18" s="193" t="s">
        <v>555</v>
      </c>
      <c r="B18" s="193" t="s">
        <v>551</v>
      </c>
      <c r="C18" s="188"/>
      <c r="D18" s="188"/>
      <c r="E18" s="189"/>
      <c r="F18" s="189"/>
      <c r="G18" s="189"/>
      <c r="H18" s="190"/>
      <c r="I18" s="190"/>
    </row>
    <row r="19" spans="1:27" ht="14.4">
      <c r="A19" s="194" t="s">
        <v>556</v>
      </c>
      <c r="B19" s="194" t="s">
        <v>535</v>
      </c>
      <c r="C19" s="188"/>
      <c r="D19" s="188"/>
      <c r="E19" s="189"/>
      <c r="F19" s="189"/>
      <c r="G19" s="189"/>
      <c r="H19" s="190"/>
      <c r="I19" s="190"/>
    </row>
    <row r="20" spans="1:27" ht="12.75" customHeight="1">
      <c r="A20" s="148"/>
      <c r="B20" s="148"/>
      <c r="C20" s="153">
        <f>I13+1</f>
        <v>3</v>
      </c>
      <c r="D20" s="153">
        <f t="shared" ref="D20:I20" si="1">C20+1</f>
        <v>4</v>
      </c>
      <c r="E20" s="153">
        <f t="shared" si="1"/>
        <v>5</v>
      </c>
      <c r="F20" s="153">
        <f t="shared" si="1"/>
        <v>6</v>
      </c>
      <c r="G20" s="150">
        <f t="shared" si="1"/>
        <v>7</v>
      </c>
      <c r="H20" s="150">
        <f t="shared" si="1"/>
        <v>8</v>
      </c>
      <c r="I20" s="150">
        <f t="shared" si="1"/>
        <v>9</v>
      </c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  <c r="AA20" s="147"/>
    </row>
    <row r="21" spans="1:27" ht="15.75" customHeight="1">
      <c r="A21" s="154" t="s">
        <v>397</v>
      </c>
      <c r="B21" s="154" t="s">
        <v>535</v>
      </c>
      <c r="C21" s="195"/>
      <c r="D21" s="195"/>
      <c r="E21" s="195"/>
      <c r="F21" s="195"/>
      <c r="G21" s="195"/>
      <c r="H21" s="195"/>
      <c r="I21" s="195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  <c r="AA21" s="147"/>
    </row>
    <row r="22" spans="1:27" ht="15.75" customHeight="1">
      <c r="A22" s="155" t="s">
        <v>82</v>
      </c>
      <c r="B22" s="155" t="s">
        <v>537</v>
      </c>
      <c r="C22" s="195"/>
      <c r="D22" s="195"/>
      <c r="E22" s="195"/>
      <c r="F22" s="195"/>
      <c r="G22" s="195"/>
      <c r="H22" s="195"/>
      <c r="I22" s="195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  <c r="AA22" s="147"/>
    </row>
    <row r="23" spans="1:27" ht="15.75" customHeight="1">
      <c r="A23" s="155" t="s">
        <v>92</v>
      </c>
      <c r="B23" s="155" t="s">
        <v>540</v>
      </c>
      <c r="C23" s="195"/>
      <c r="D23" s="195"/>
      <c r="E23" s="195"/>
      <c r="F23" s="195"/>
      <c r="G23" s="195"/>
      <c r="H23" s="195"/>
      <c r="I23" s="195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  <c r="AA23" s="147"/>
    </row>
    <row r="24" spans="1:27" ht="15.75" customHeight="1">
      <c r="A24" s="157" t="s">
        <v>98</v>
      </c>
      <c r="B24" s="157" t="s">
        <v>543</v>
      </c>
      <c r="C24" s="195"/>
      <c r="D24" s="195"/>
      <c r="E24" s="195"/>
      <c r="F24" s="195"/>
      <c r="G24" s="195"/>
      <c r="H24" s="195"/>
      <c r="I24" s="195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  <c r="AA24" s="147"/>
    </row>
    <row r="25" spans="1:27" ht="15.75" customHeight="1">
      <c r="A25" s="157" t="s">
        <v>104</v>
      </c>
      <c r="B25" s="157" t="s">
        <v>546</v>
      </c>
      <c r="C25" s="195"/>
      <c r="D25" s="195"/>
      <c r="E25" s="195"/>
      <c r="F25" s="195"/>
      <c r="G25" s="195"/>
      <c r="H25" s="195"/>
      <c r="I25" s="195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  <c r="AA25" s="147"/>
    </row>
    <row r="26" spans="1:27" ht="15.75" customHeight="1">
      <c r="A26" s="166" t="s">
        <v>46</v>
      </c>
      <c r="B26" s="166" t="s">
        <v>47</v>
      </c>
      <c r="C26" s="195"/>
      <c r="D26" s="195"/>
      <c r="E26" s="195"/>
      <c r="F26" s="195"/>
      <c r="G26" s="195"/>
      <c r="H26" s="195"/>
      <c r="I26" s="195"/>
    </row>
    <row r="27" spans="1:27" ht="15.75" customHeight="1">
      <c r="A27" s="166" t="s">
        <v>431</v>
      </c>
      <c r="B27" s="166" t="s">
        <v>546</v>
      </c>
      <c r="C27" s="195"/>
      <c r="D27" s="195"/>
      <c r="E27" s="195"/>
      <c r="F27" s="195"/>
      <c r="G27" s="195"/>
      <c r="H27" s="195"/>
      <c r="I27" s="195"/>
    </row>
    <row r="28" spans="1:27" ht="15.75" customHeight="1">
      <c r="A28" s="167" t="s">
        <v>26</v>
      </c>
      <c r="B28" s="167" t="s">
        <v>27</v>
      </c>
      <c r="C28" s="195"/>
      <c r="D28" s="195"/>
      <c r="E28" s="195"/>
      <c r="F28" s="195"/>
      <c r="G28" s="195"/>
      <c r="H28" s="195"/>
      <c r="I28" s="195"/>
    </row>
    <row r="29" spans="1:27" ht="15.75" customHeight="1">
      <c r="A29" s="168" t="s">
        <v>31</v>
      </c>
      <c r="B29" s="168" t="s">
        <v>551</v>
      </c>
      <c r="C29" s="195"/>
      <c r="D29" s="195"/>
      <c r="E29" s="195"/>
      <c r="F29" s="195"/>
      <c r="G29" s="195"/>
      <c r="H29" s="195"/>
      <c r="I29" s="195"/>
    </row>
    <row r="30" spans="1:27" ht="15.75" customHeight="1">
      <c r="A30" s="169" t="s">
        <v>28</v>
      </c>
      <c r="B30" s="170" t="s">
        <v>535</v>
      </c>
      <c r="C30" s="195"/>
      <c r="D30" s="195"/>
      <c r="E30" s="195"/>
      <c r="F30" s="195"/>
      <c r="G30" s="195"/>
      <c r="H30" s="195"/>
      <c r="I30" s="195"/>
    </row>
    <row r="31" spans="1:27" ht="12.75" customHeight="1">
      <c r="A31" s="148"/>
      <c r="B31" s="148"/>
      <c r="C31" s="150">
        <f>I20+1</f>
        <v>10</v>
      </c>
      <c r="D31" s="150">
        <f t="shared" ref="D31:I31" si="2">C31+1</f>
        <v>11</v>
      </c>
      <c r="E31" s="150">
        <f t="shared" si="2"/>
        <v>12</v>
      </c>
      <c r="F31" s="150">
        <f t="shared" si="2"/>
        <v>13</v>
      </c>
      <c r="G31" s="150">
        <f t="shared" si="2"/>
        <v>14</v>
      </c>
      <c r="H31" s="150">
        <f t="shared" si="2"/>
        <v>15</v>
      </c>
      <c r="I31" s="150">
        <f t="shared" si="2"/>
        <v>16</v>
      </c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  <c r="AA31" s="147"/>
    </row>
    <row r="32" spans="1:27" ht="15.75" customHeight="1">
      <c r="A32" s="154" t="s">
        <v>397</v>
      </c>
      <c r="B32" s="154" t="s">
        <v>535</v>
      </c>
      <c r="C32" s="196"/>
      <c r="D32" s="196"/>
      <c r="E32" s="196"/>
      <c r="F32" s="196"/>
      <c r="G32" s="196"/>
      <c r="H32" s="196"/>
      <c r="I32" s="196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  <c r="AA32" s="147"/>
    </row>
    <row r="33" spans="1:27" ht="15.75" customHeight="1">
      <c r="A33" s="155" t="s">
        <v>82</v>
      </c>
      <c r="B33" s="155" t="s">
        <v>537</v>
      </c>
      <c r="C33" s="196"/>
      <c r="D33" s="196"/>
      <c r="E33" s="196"/>
      <c r="F33" s="196"/>
      <c r="G33" s="196"/>
      <c r="H33" s="196"/>
      <c r="I33" s="196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  <c r="AA33" s="147"/>
    </row>
    <row r="34" spans="1:27" ht="15.75" customHeight="1">
      <c r="A34" s="155" t="s">
        <v>92</v>
      </c>
      <c r="B34" s="155" t="s">
        <v>540</v>
      </c>
      <c r="C34" s="196"/>
      <c r="D34" s="196"/>
      <c r="E34" s="196"/>
      <c r="F34" s="196"/>
      <c r="G34" s="196"/>
      <c r="H34" s="196"/>
      <c r="I34" s="196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  <c r="AA34" s="147"/>
    </row>
    <row r="35" spans="1:27" ht="15.75" customHeight="1">
      <c r="A35" s="157" t="s">
        <v>98</v>
      </c>
      <c r="B35" s="157" t="s">
        <v>543</v>
      </c>
      <c r="C35" s="196"/>
      <c r="D35" s="196"/>
      <c r="E35" s="196"/>
      <c r="F35" s="196"/>
      <c r="G35" s="196"/>
      <c r="H35" s="196"/>
      <c r="I35" s="196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  <c r="AA35" s="147"/>
    </row>
    <row r="36" spans="1:27" ht="15.75" customHeight="1">
      <c r="A36" s="157" t="s">
        <v>104</v>
      </c>
      <c r="B36" s="157" t="s">
        <v>546</v>
      </c>
      <c r="C36" s="196"/>
      <c r="D36" s="196"/>
      <c r="E36" s="196"/>
      <c r="F36" s="196"/>
      <c r="G36" s="196"/>
      <c r="H36" s="196"/>
      <c r="I36" s="196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  <c r="AA36" s="147"/>
    </row>
    <row r="37" spans="1:27" ht="15.75" customHeight="1">
      <c r="A37" s="166" t="s">
        <v>46</v>
      </c>
      <c r="B37" s="166" t="s">
        <v>47</v>
      </c>
      <c r="C37" s="196"/>
      <c r="D37" s="196"/>
      <c r="E37" s="196"/>
      <c r="F37" s="196"/>
      <c r="G37" s="196"/>
      <c r="H37" s="196"/>
      <c r="I37" s="196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47"/>
    </row>
    <row r="38" spans="1:27" ht="15.75" customHeight="1">
      <c r="A38" s="166" t="s">
        <v>431</v>
      </c>
      <c r="B38" s="166" t="s">
        <v>546</v>
      </c>
      <c r="C38" s="196"/>
      <c r="D38" s="196"/>
      <c r="E38" s="196"/>
      <c r="F38" s="196"/>
      <c r="G38" s="196"/>
      <c r="H38" s="196"/>
      <c r="I38" s="196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  <c r="AA38" s="147"/>
    </row>
    <row r="39" spans="1:27" ht="15.75" customHeight="1">
      <c r="A39" s="167" t="s">
        <v>26</v>
      </c>
      <c r="B39" s="167" t="s">
        <v>27</v>
      </c>
      <c r="C39" s="196"/>
      <c r="D39" s="196"/>
      <c r="E39" s="196"/>
      <c r="F39" s="196"/>
      <c r="G39" s="196"/>
      <c r="H39" s="196"/>
      <c r="I39" s="196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  <c r="AA39" s="147"/>
    </row>
    <row r="40" spans="1:27" ht="15.75" customHeight="1">
      <c r="A40" s="168" t="s">
        <v>31</v>
      </c>
      <c r="B40" s="168" t="s">
        <v>551</v>
      </c>
      <c r="C40" s="196"/>
      <c r="D40" s="196"/>
      <c r="E40" s="196"/>
      <c r="F40" s="196"/>
      <c r="G40" s="196"/>
      <c r="H40" s="196"/>
      <c r="I40" s="196"/>
    </row>
    <row r="41" spans="1:27" ht="15.75" customHeight="1">
      <c r="A41" s="169" t="s">
        <v>28</v>
      </c>
      <c r="B41" s="170" t="s">
        <v>535</v>
      </c>
      <c r="C41" s="196"/>
      <c r="D41" s="196"/>
      <c r="E41" s="196"/>
      <c r="F41" s="196"/>
      <c r="G41" s="196"/>
      <c r="H41" s="196"/>
      <c r="I41" s="196"/>
    </row>
    <row r="42" spans="1:27" ht="12.75" customHeight="1">
      <c r="A42" s="148"/>
      <c r="B42" s="148"/>
      <c r="C42" s="150">
        <f>I31+1</f>
        <v>17</v>
      </c>
      <c r="D42" s="150">
        <f t="shared" ref="D42:I42" si="3">C42+1</f>
        <v>18</v>
      </c>
      <c r="E42" s="150">
        <f t="shared" si="3"/>
        <v>19</v>
      </c>
      <c r="F42" s="150">
        <f t="shared" si="3"/>
        <v>20</v>
      </c>
      <c r="G42" s="150">
        <f t="shared" si="3"/>
        <v>21</v>
      </c>
      <c r="H42" s="150">
        <f t="shared" si="3"/>
        <v>22</v>
      </c>
      <c r="I42" s="150">
        <f t="shared" si="3"/>
        <v>23</v>
      </c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47"/>
    </row>
    <row r="43" spans="1:27" ht="15.75" customHeight="1">
      <c r="A43" s="154" t="s">
        <v>397</v>
      </c>
      <c r="B43" s="154" t="s">
        <v>535</v>
      </c>
      <c r="C43" s="186"/>
      <c r="D43" s="186"/>
      <c r="E43" s="186"/>
      <c r="F43" s="186"/>
      <c r="G43" s="186"/>
      <c r="H43" s="186"/>
      <c r="I43" s="186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  <c r="AA43" s="147"/>
    </row>
    <row r="44" spans="1:27" ht="15.75" customHeight="1">
      <c r="A44" s="155" t="s">
        <v>82</v>
      </c>
      <c r="B44" s="155" t="s">
        <v>537</v>
      </c>
      <c r="C44" s="186"/>
      <c r="D44" s="186"/>
      <c r="E44" s="186"/>
      <c r="F44" s="186"/>
      <c r="G44" s="186"/>
      <c r="H44" s="186"/>
      <c r="I44" s="186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  <c r="AA44" s="147"/>
    </row>
    <row r="45" spans="1:27" ht="15.75" customHeight="1">
      <c r="A45" s="155" t="s">
        <v>92</v>
      </c>
      <c r="B45" s="155" t="s">
        <v>540</v>
      </c>
      <c r="C45" s="186"/>
      <c r="D45" s="186"/>
      <c r="E45" s="186"/>
      <c r="F45" s="186"/>
      <c r="G45" s="186"/>
      <c r="H45" s="186"/>
      <c r="I45" s="186"/>
    </row>
    <row r="46" spans="1:27" ht="15.75" customHeight="1">
      <c r="A46" s="157" t="s">
        <v>98</v>
      </c>
      <c r="B46" s="157" t="s">
        <v>543</v>
      </c>
      <c r="C46" s="186"/>
      <c r="D46" s="186"/>
      <c r="E46" s="186"/>
      <c r="F46" s="186"/>
      <c r="G46" s="186"/>
      <c r="H46" s="186"/>
      <c r="I46" s="186"/>
    </row>
    <row r="47" spans="1:27" ht="15.75" customHeight="1">
      <c r="A47" s="157" t="s">
        <v>104</v>
      </c>
      <c r="B47" s="157" t="s">
        <v>546</v>
      </c>
      <c r="C47" s="186"/>
      <c r="D47" s="186"/>
      <c r="E47" s="186"/>
      <c r="F47" s="186"/>
      <c r="G47" s="186"/>
      <c r="H47" s="186"/>
      <c r="I47" s="186"/>
    </row>
    <row r="48" spans="1:27" ht="15.75" customHeight="1">
      <c r="A48" s="166" t="s">
        <v>46</v>
      </c>
      <c r="B48" s="166" t="s">
        <v>47</v>
      </c>
      <c r="C48" s="186"/>
      <c r="D48" s="186"/>
      <c r="E48" s="186"/>
      <c r="F48" s="186"/>
      <c r="G48" s="186"/>
      <c r="H48" s="186"/>
      <c r="I48" s="186"/>
    </row>
    <row r="49" spans="1:27" ht="15.75" customHeight="1">
      <c r="A49" s="166" t="s">
        <v>431</v>
      </c>
      <c r="B49" s="166" t="s">
        <v>546</v>
      </c>
      <c r="C49" s="186"/>
      <c r="D49" s="186"/>
      <c r="E49" s="186"/>
      <c r="F49" s="186"/>
      <c r="G49" s="186"/>
      <c r="H49" s="186"/>
      <c r="I49" s="186"/>
    </row>
    <row r="50" spans="1:27" ht="15.75" customHeight="1">
      <c r="A50" s="167" t="s">
        <v>26</v>
      </c>
      <c r="B50" s="167" t="s">
        <v>27</v>
      </c>
      <c r="C50" s="186"/>
      <c r="D50" s="186"/>
      <c r="E50" s="186"/>
      <c r="F50" s="186"/>
      <c r="G50" s="186"/>
      <c r="H50" s="186"/>
      <c r="I50" s="186"/>
    </row>
    <row r="51" spans="1:27" ht="15.75" customHeight="1">
      <c r="A51" s="168" t="s">
        <v>31</v>
      </c>
      <c r="B51" s="168" t="s">
        <v>551</v>
      </c>
      <c r="C51" s="186"/>
      <c r="D51" s="186"/>
      <c r="E51" s="186"/>
      <c r="F51" s="186"/>
      <c r="G51" s="186"/>
      <c r="H51" s="186"/>
      <c r="I51" s="186"/>
    </row>
    <row r="52" spans="1:27" ht="15.75" customHeight="1">
      <c r="A52" s="169" t="s">
        <v>28</v>
      </c>
      <c r="B52" s="170" t="s">
        <v>535</v>
      </c>
      <c r="C52" s="186"/>
      <c r="D52" s="186"/>
      <c r="E52" s="186"/>
      <c r="F52" s="186"/>
      <c r="G52" s="186"/>
      <c r="H52" s="186"/>
      <c r="I52" s="186"/>
    </row>
    <row r="53" spans="1:27" ht="12.75" customHeight="1">
      <c r="A53" s="148"/>
      <c r="B53" s="148"/>
      <c r="C53" s="150">
        <f>I42+1</f>
        <v>24</v>
      </c>
      <c r="D53" s="150">
        <f t="shared" ref="D53:I53" si="4">C53+1</f>
        <v>25</v>
      </c>
      <c r="E53" s="150">
        <f t="shared" si="4"/>
        <v>26</v>
      </c>
      <c r="F53" s="150">
        <f t="shared" si="4"/>
        <v>27</v>
      </c>
      <c r="G53" s="150">
        <f t="shared" si="4"/>
        <v>28</v>
      </c>
      <c r="H53" s="150">
        <f t="shared" si="4"/>
        <v>29</v>
      </c>
      <c r="I53" s="150">
        <f t="shared" si="4"/>
        <v>30</v>
      </c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  <c r="AA53" s="147"/>
    </row>
    <row r="54" spans="1:27" ht="30.75" customHeight="1">
      <c r="A54" s="186"/>
      <c r="B54" s="186"/>
      <c r="C54" s="196"/>
      <c r="D54" s="196"/>
      <c r="E54" s="196"/>
      <c r="F54" s="197"/>
      <c r="G54" s="196"/>
      <c r="H54" s="197"/>
      <c r="I54" s="19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  <c r="AA54" s="147"/>
    </row>
    <row r="55" spans="1:27" ht="27.75" customHeight="1">
      <c r="A55" s="186"/>
      <c r="B55" s="186"/>
      <c r="C55" s="196"/>
      <c r="D55" s="196"/>
      <c r="E55" s="195"/>
      <c r="F55" s="197"/>
      <c r="G55" s="195"/>
      <c r="H55" s="197"/>
      <c r="I55" s="19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  <c r="AA55" s="147"/>
    </row>
    <row r="56" spans="1:27" ht="15.75" customHeight="1">
      <c r="A56" s="186"/>
      <c r="B56" s="186"/>
      <c r="C56" s="196"/>
      <c r="D56" s="196"/>
      <c r="E56" s="195"/>
      <c r="F56" s="196"/>
      <c r="G56" s="195"/>
      <c r="H56" s="196"/>
      <c r="I56" s="196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  <c r="AA56" s="147"/>
    </row>
    <row r="57" spans="1:27" ht="12.75" customHeight="1">
      <c r="A57" s="148"/>
      <c r="B57" s="148"/>
      <c r="C57" s="150">
        <f>I53+1</f>
        <v>31</v>
      </c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  <c r="AA57" s="147"/>
    </row>
    <row r="58" spans="1:27" ht="12.75" customHeight="1">
      <c r="A58" s="186"/>
      <c r="B58" s="186"/>
      <c r="C58" s="196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  <c r="AA58" s="147"/>
    </row>
    <row r="59" spans="1:27" ht="12.75" customHeight="1">
      <c r="A59" s="186"/>
      <c r="B59" s="186"/>
      <c r="C59" s="196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  <c r="AA59" s="147"/>
    </row>
    <row r="60" spans="1:27" ht="12.75" customHeight="1">
      <c r="A60" s="196"/>
      <c r="B60" s="196"/>
      <c r="C60" s="196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  <c r="AA60" s="147"/>
    </row>
    <row r="61" spans="1:27" ht="12.75" customHeight="1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  <c r="AA61" s="147"/>
    </row>
    <row r="62" spans="1:27" ht="12.75" customHeight="1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  <c r="AA62" s="147"/>
    </row>
    <row r="63" spans="1:27" ht="12.75" customHeight="1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</row>
    <row r="64" spans="1:27" ht="12.75" customHeight="1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  <c r="AA64" s="147"/>
    </row>
    <row r="65" spans="1:27" ht="12.75" customHeight="1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  <c r="AA65" s="147"/>
    </row>
    <row r="66" spans="1:27" ht="12.75" customHeight="1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  <c r="AA66" s="147"/>
    </row>
    <row r="67" spans="1:27" ht="12.75" customHeight="1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  <c r="AA67" s="147"/>
    </row>
    <row r="68" spans="1:27" ht="12.75" customHeight="1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  <c r="AA68" s="147"/>
    </row>
    <row r="69" spans="1:27" ht="12.75" customHeight="1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</row>
    <row r="70" spans="1:27" ht="12.75" customHeight="1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  <c r="AA70" s="147"/>
    </row>
    <row r="71" spans="1:27" ht="12.75" customHeight="1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  <c r="AA71" s="147"/>
    </row>
    <row r="72" spans="1:27" ht="12.75" customHeight="1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  <c r="AA72" s="147"/>
    </row>
    <row r="73" spans="1:27" ht="12.75" customHeight="1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  <c r="AA73" s="147"/>
    </row>
    <row r="74" spans="1:27" ht="12.75" customHeight="1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  <c r="AA74" s="147"/>
    </row>
    <row r="75" spans="1:27" ht="12.75" customHeight="1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  <c r="AA75" s="147"/>
    </row>
    <row r="76" spans="1:27" ht="12.75" customHeight="1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  <c r="AA76" s="147"/>
    </row>
    <row r="77" spans="1:27" ht="12.75" customHeight="1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  <c r="AA77" s="147"/>
    </row>
    <row r="78" spans="1:27" ht="12.75" customHeight="1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</row>
    <row r="79" spans="1:27" ht="12.75" customHeight="1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  <c r="AA79" s="147"/>
    </row>
    <row r="80" spans="1:27" ht="12.75" customHeight="1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  <c r="AA80" s="147"/>
    </row>
    <row r="81" spans="1:27" ht="12.75" customHeight="1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  <c r="AA81" s="147"/>
    </row>
    <row r="82" spans="1:27" ht="12.75" customHeight="1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  <c r="AA82" s="147"/>
    </row>
    <row r="83" spans="1:27" ht="12.75" customHeight="1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  <c r="AA83" s="147"/>
    </row>
    <row r="84" spans="1:27" ht="12.75" customHeight="1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  <c r="AA84" s="147"/>
    </row>
    <row r="85" spans="1:27" ht="12.75" customHeight="1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  <c r="AA85" s="147"/>
    </row>
    <row r="86" spans="1:27" ht="12.75" customHeight="1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  <c r="AA86" s="147"/>
    </row>
    <row r="87" spans="1:27" ht="12.75" customHeight="1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  <c r="AA87" s="147"/>
    </row>
    <row r="88" spans="1:27" ht="12.75" customHeight="1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  <c r="AA88" s="147"/>
    </row>
    <row r="89" spans="1:27" ht="12.75" customHeight="1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  <c r="AA89" s="147"/>
    </row>
    <row r="90" spans="1:27" ht="12.75" customHeight="1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47"/>
    </row>
    <row r="91" spans="1:27" ht="12.75" customHeight="1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  <c r="AA91" s="147"/>
    </row>
    <row r="92" spans="1:27" ht="12.75" customHeight="1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  <c r="AA92" s="147"/>
    </row>
    <row r="93" spans="1:27" ht="12.75" customHeight="1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  <c r="AA93" s="147"/>
    </row>
    <row r="94" spans="1:27" ht="12.75" customHeight="1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  <c r="AA94" s="147"/>
    </row>
    <row r="95" spans="1:27" ht="12.75" customHeight="1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  <c r="AA95" s="147"/>
    </row>
    <row r="96" spans="1:27" ht="12.75" customHeight="1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  <c r="AA96" s="147"/>
    </row>
    <row r="97" spans="1:27" ht="12.75" customHeight="1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  <c r="AA97" s="147"/>
    </row>
    <row r="98" spans="1:27" ht="12.75" customHeight="1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  <c r="AA98" s="147"/>
    </row>
    <row r="99" spans="1:27" ht="12.75" customHeight="1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  <c r="AA99" s="147"/>
    </row>
    <row r="100" spans="1:27" ht="12.75" customHeight="1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</row>
    <row r="101" spans="1:27" ht="12.75" customHeight="1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</row>
    <row r="102" spans="1:27" ht="12.75" customHeight="1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</row>
    <row r="103" spans="1:27" ht="12.75" customHeight="1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</row>
    <row r="104" spans="1:27" ht="12.75" customHeight="1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</row>
    <row r="105" spans="1:27" ht="12.75" customHeight="1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</row>
    <row r="106" spans="1:27" ht="12.75" customHeight="1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</row>
    <row r="107" spans="1:27" ht="12.75" customHeight="1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</row>
    <row r="108" spans="1:27" ht="12.75" customHeight="1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</row>
    <row r="109" spans="1:27" ht="12.75" customHeight="1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</row>
    <row r="110" spans="1:27" ht="12.75" customHeight="1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</row>
    <row r="111" spans="1:27" ht="12.75" customHeight="1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</row>
    <row r="112" spans="1:27" ht="12.75" customHeight="1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</row>
    <row r="113" spans="1:27" ht="12.75" customHeight="1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</row>
    <row r="114" spans="1:27" ht="12.75" customHeight="1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</row>
    <row r="115" spans="1:27" ht="12.75" customHeight="1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</row>
    <row r="116" spans="1:27" ht="12.75" customHeight="1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</row>
    <row r="117" spans="1:27" ht="12.75" customHeight="1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</row>
    <row r="118" spans="1:27" ht="12.75" customHeight="1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</row>
    <row r="119" spans="1:27" ht="12.75" customHeight="1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</row>
    <row r="120" spans="1:27" ht="12.75" customHeight="1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</row>
    <row r="121" spans="1:27" ht="12.75" customHeight="1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</row>
    <row r="122" spans="1:27" ht="12.75" customHeight="1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</row>
    <row r="123" spans="1:27" ht="12.75" customHeight="1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</row>
    <row r="124" spans="1:27" ht="12.75" customHeight="1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</row>
    <row r="125" spans="1:27" ht="12.75" customHeight="1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</row>
    <row r="126" spans="1:27" ht="12.75" customHeight="1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</row>
    <row r="127" spans="1:27" ht="12.75" customHeight="1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</row>
    <row r="128" spans="1:27" ht="12.75" customHeight="1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</row>
    <row r="129" spans="1:27" ht="12.75" customHeight="1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</row>
    <row r="130" spans="1:27" ht="12.75" customHeight="1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</row>
    <row r="131" spans="1:27" ht="12.75" customHeight="1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</row>
    <row r="132" spans="1:27" ht="12.75" customHeight="1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</row>
    <row r="133" spans="1:27" ht="12.75" customHeight="1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</row>
    <row r="134" spans="1:27" ht="12.75" customHeight="1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</row>
    <row r="135" spans="1:27" ht="12.75" customHeight="1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</row>
    <row r="136" spans="1:27" ht="12.75" customHeight="1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</row>
    <row r="137" spans="1:27" ht="12.75" customHeight="1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</row>
    <row r="138" spans="1:27" ht="12.75" customHeight="1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</row>
    <row r="139" spans="1:27" ht="12.75" customHeight="1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</row>
    <row r="140" spans="1:27" ht="12.75" customHeight="1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</row>
    <row r="141" spans="1:27" ht="12.75" customHeight="1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</row>
    <row r="142" spans="1:27" ht="12.75" customHeight="1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</row>
    <row r="143" spans="1:27" ht="12.75" customHeight="1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</row>
    <row r="144" spans="1:27" ht="12.75" customHeight="1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</row>
    <row r="145" spans="1:27" ht="12.75" customHeight="1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</row>
    <row r="146" spans="1:27" ht="12.75" customHeight="1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</row>
    <row r="147" spans="1:27" ht="12.75" customHeight="1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</row>
    <row r="148" spans="1:27" ht="12.75" customHeight="1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</row>
    <row r="149" spans="1:27" ht="12.75" customHeight="1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</row>
    <row r="150" spans="1:27" ht="12.75" customHeight="1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</row>
    <row r="151" spans="1:27" ht="12.75" customHeight="1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</row>
    <row r="152" spans="1:27" ht="12.75" customHeight="1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</row>
    <row r="153" spans="1:27" ht="12.75" customHeight="1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</row>
    <row r="154" spans="1:27" ht="12.75" customHeight="1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</row>
    <row r="155" spans="1:27" ht="12.75" customHeight="1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</row>
    <row r="156" spans="1:27" ht="12.75" customHeight="1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</row>
    <row r="157" spans="1:27" ht="12.75" customHeight="1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</row>
    <row r="158" spans="1:27" ht="12.75" customHeight="1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</row>
    <row r="159" spans="1:27" ht="12.75" customHeight="1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</row>
    <row r="160" spans="1:27" ht="12.75" customHeight="1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</row>
    <row r="161" spans="1:27" ht="12.75" customHeight="1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</row>
    <row r="162" spans="1:27" ht="12.75" customHeight="1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</row>
    <row r="163" spans="1:27" ht="12.75" customHeight="1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</row>
    <row r="164" spans="1:27" ht="12.75" customHeight="1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</row>
    <row r="165" spans="1:27" ht="12.75" customHeight="1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</row>
    <row r="166" spans="1:27" ht="12.75" customHeight="1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</row>
    <row r="167" spans="1:27" ht="12.75" customHeight="1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</row>
    <row r="168" spans="1:27" ht="12.75" customHeight="1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</row>
    <row r="169" spans="1:27" ht="12.75" customHeight="1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</row>
    <row r="170" spans="1:27" ht="12.75" customHeight="1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</row>
    <row r="171" spans="1:27" ht="12.75" customHeight="1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</row>
    <row r="172" spans="1:27" ht="12.75" customHeight="1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</row>
    <row r="173" spans="1:27" ht="12.75" customHeight="1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</row>
    <row r="174" spans="1:27" ht="12.75" customHeight="1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</row>
    <row r="175" spans="1:27" ht="12.75" customHeight="1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</row>
    <row r="176" spans="1:27" ht="12.75" customHeight="1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</row>
    <row r="177" spans="1:27" ht="12.75" customHeight="1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</row>
    <row r="178" spans="1:27" ht="12.75" customHeight="1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</row>
    <row r="179" spans="1:27" ht="12.75" customHeight="1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</row>
    <row r="180" spans="1:27" ht="12.75" customHeight="1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</row>
    <row r="181" spans="1:27" ht="12.75" customHeight="1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</row>
    <row r="182" spans="1:27" ht="12.75" customHeight="1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</row>
    <row r="183" spans="1:27" ht="12.75" customHeight="1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</row>
    <row r="184" spans="1:27" ht="12.75" customHeight="1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</row>
    <row r="185" spans="1:27" ht="12.75" customHeight="1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</row>
    <row r="186" spans="1:27" ht="12.75" customHeight="1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</row>
    <row r="187" spans="1:27" ht="12.75" customHeight="1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</row>
    <row r="188" spans="1:27" ht="12.75" customHeight="1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</row>
    <row r="189" spans="1:27" ht="12.75" customHeight="1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</row>
    <row r="190" spans="1:27" ht="12.75" customHeight="1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</row>
    <row r="191" spans="1:27" ht="12.75" customHeight="1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</row>
    <row r="192" spans="1:27" ht="12.75" customHeight="1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</row>
    <row r="193" spans="1:27" ht="12.75" customHeight="1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</row>
    <row r="194" spans="1:27" ht="12.75" customHeight="1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</row>
    <row r="195" spans="1:27" ht="12.75" customHeight="1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</row>
    <row r="196" spans="1:27" ht="12.75" customHeight="1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</row>
    <row r="197" spans="1:27" ht="12.75" customHeight="1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</row>
    <row r="198" spans="1:27" ht="12.75" customHeight="1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</row>
    <row r="199" spans="1:27" ht="12.75" customHeight="1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</row>
    <row r="200" spans="1:27" ht="12.75" customHeight="1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</row>
    <row r="201" spans="1:27" ht="12.75" customHeight="1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</row>
    <row r="202" spans="1:27" ht="12.75" customHeight="1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</row>
    <row r="203" spans="1:27" ht="12.75" customHeight="1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</row>
    <row r="204" spans="1:27" ht="12.75" customHeight="1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</row>
    <row r="205" spans="1:27" ht="12.75" customHeight="1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</row>
    <row r="206" spans="1:27" ht="12.75" customHeight="1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</row>
    <row r="207" spans="1:27" ht="12.75" customHeight="1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</row>
    <row r="208" spans="1:27" ht="12.75" customHeight="1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</row>
    <row r="209" spans="1:27" ht="12.75" customHeight="1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</row>
    <row r="210" spans="1:27" ht="12.75" customHeight="1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</row>
    <row r="211" spans="1:27" ht="12.75" customHeight="1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</row>
    <row r="212" spans="1:27" ht="12.75" customHeight="1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</row>
    <row r="213" spans="1:27" ht="12.75" customHeight="1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</row>
    <row r="214" spans="1:27" ht="12.75" customHeight="1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</row>
    <row r="215" spans="1:27" ht="12.75" customHeight="1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</row>
    <row r="216" spans="1:27" ht="12.75" customHeight="1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</row>
    <row r="217" spans="1:27" ht="12.75" customHeight="1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</row>
    <row r="218" spans="1:27" ht="12.75" customHeight="1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</row>
    <row r="219" spans="1:27" ht="12.75" customHeight="1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</row>
    <row r="220" spans="1:27" ht="12.75" customHeight="1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</row>
    <row r="221" spans="1:27" ht="12.75" customHeight="1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</row>
    <row r="222" spans="1:27" ht="12.75" customHeight="1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</row>
    <row r="223" spans="1:27" ht="12.75" customHeight="1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</row>
    <row r="224" spans="1:27" ht="12.75" customHeight="1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</row>
    <row r="225" spans="1:27" ht="12.75" customHeight="1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</row>
    <row r="226" spans="1:27" ht="12.75" customHeight="1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</row>
    <row r="227" spans="1:27" ht="12.75" customHeight="1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</row>
    <row r="228" spans="1:27" ht="12.75" customHeight="1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</row>
    <row r="229" spans="1:27" ht="12.75" customHeight="1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</row>
    <row r="230" spans="1:27" ht="12.75" customHeight="1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</row>
    <row r="231" spans="1:27" ht="12.75" customHeight="1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</row>
    <row r="232" spans="1:27" ht="12.75" customHeight="1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</row>
    <row r="233" spans="1:27" ht="12.75" customHeight="1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</row>
    <row r="234" spans="1:27" ht="12.75" customHeight="1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</row>
    <row r="235" spans="1:27" ht="12.75" customHeight="1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</row>
    <row r="236" spans="1:27" ht="12.75" customHeight="1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</row>
    <row r="237" spans="1:27" ht="12.75" customHeight="1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</row>
    <row r="238" spans="1:27" ht="12.75" customHeight="1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</row>
    <row r="239" spans="1:27" ht="12.75" customHeight="1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</row>
    <row r="240" spans="1:27" ht="12.75" customHeight="1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</row>
    <row r="241" spans="1:27" ht="12.75" customHeight="1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</row>
    <row r="242" spans="1:27" ht="12.75" customHeight="1">
      <c r="A242" s="147"/>
      <c r="B242" s="147"/>
      <c r="C242" s="147"/>
      <c r="D242" s="147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</row>
    <row r="243" spans="1:27" ht="12.75" customHeight="1">
      <c r="A243" s="147"/>
      <c r="B243" s="147"/>
      <c r="C243" s="147"/>
      <c r="D243" s="147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</row>
    <row r="244" spans="1:27" ht="12.75" customHeight="1">
      <c r="A244" s="147"/>
      <c r="B244" s="147"/>
      <c r="C244" s="147"/>
      <c r="D244" s="147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</row>
    <row r="245" spans="1:27" ht="12.75" customHeight="1">
      <c r="A245" s="147"/>
      <c r="B245" s="147"/>
      <c r="C245" s="147"/>
      <c r="D245" s="147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</row>
    <row r="246" spans="1:27" ht="12.75" customHeight="1">
      <c r="A246" s="147"/>
      <c r="B246" s="147"/>
      <c r="C246" s="147"/>
      <c r="D246" s="147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</row>
    <row r="247" spans="1:27" ht="12.75" customHeight="1">
      <c r="A247" s="147"/>
      <c r="B247" s="147"/>
      <c r="C247" s="147"/>
      <c r="D247" s="147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</row>
    <row r="248" spans="1:27" ht="12.75" customHeight="1">
      <c r="A248" s="147"/>
      <c r="B248" s="147"/>
      <c r="C248" s="147"/>
      <c r="D248" s="147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</row>
    <row r="249" spans="1:27" ht="12.75" customHeight="1">
      <c r="A249" s="147"/>
      <c r="B249" s="147"/>
      <c r="C249" s="147"/>
      <c r="D249" s="147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</row>
    <row r="250" spans="1:27" ht="12.75" customHeight="1">
      <c r="A250" s="147"/>
      <c r="B250" s="147"/>
      <c r="C250" s="147"/>
      <c r="D250" s="147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</row>
    <row r="251" spans="1:27" ht="12.75" customHeight="1">
      <c r="A251" s="147"/>
      <c r="B251" s="147"/>
      <c r="C251" s="147"/>
      <c r="D251" s="147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</row>
    <row r="252" spans="1:27" ht="12.75" customHeight="1">
      <c r="A252" s="147"/>
      <c r="B252" s="147"/>
      <c r="C252" s="147"/>
      <c r="D252" s="147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</row>
    <row r="253" spans="1:27" ht="12.75" customHeight="1">
      <c r="A253" s="147"/>
      <c r="B253" s="147"/>
      <c r="C253" s="147"/>
      <c r="D253" s="147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</row>
    <row r="254" spans="1:27" ht="15.75" customHeight="1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  <c r="AA254" s="184"/>
    </row>
    <row r="255" spans="1:27" ht="15.75" customHeight="1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  <c r="AA255" s="184"/>
    </row>
    <row r="256" spans="1:27" ht="15.75" customHeight="1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  <c r="AA256" s="184"/>
    </row>
    <row r="257" spans="1:27" ht="15.75" customHeight="1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  <c r="AA257" s="184"/>
    </row>
    <row r="258" spans="1:27" ht="15.75" customHeight="1"/>
    <row r="259" spans="1:27" ht="15.75" customHeight="1"/>
    <row r="260" spans="1:27" ht="15.75" customHeight="1"/>
    <row r="261" spans="1:27" ht="15.75" customHeight="1"/>
    <row r="262" spans="1:27" ht="15.75" customHeight="1"/>
    <row r="263" spans="1:27" ht="15.75" customHeight="1"/>
    <row r="264" spans="1:27" ht="15.75" customHeight="1"/>
    <row r="265" spans="1:27" ht="15.75" customHeight="1"/>
    <row r="266" spans="1:27" ht="15.75" customHeight="1"/>
    <row r="267" spans="1:27" ht="15.75" customHeight="1"/>
    <row r="268" spans="1:27" ht="15.75" customHeight="1"/>
    <row r="269" spans="1:27" ht="15.75" customHeight="1"/>
    <row r="270" spans="1:27" ht="15.75" customHeight="1"/>
    <row r="271" spans="1:27" ht="15.75" customHeight="1"/>
    <row r="272" spans="1:27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ageMargins left="0" right="0" top="0" bottom="0" header="0" footer="0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FF00"/>
    <pageSetUpPr fitToPage="1"/>
  </sheetPr>
  <dimension ref="A1:AA1000"/>
  <sheetViews>
    <sheetView showGridLines="0" workbookViewId="0"/>
  </sheetViews>
  <sheetFormatPr defaultColWidth="12.6640625" defaultRowHeight="15" customHeight="1"/>
  <cols>
    <col min="1" max="1" width="25.6640625" customWidth="1"/>
    <col min="2" max="2" width="32.33203125" customWidth="1"/>
    <col min="3" max="9" width="40.6640625" customWidth="1"/>
    <col min="10" max="27" width="17.33203125" customWidth="1"/>
  </cols>
  <sheetData>
    <row r="1" spans="1:27" ht="15" customHeight="1">
      <c r="A1" s="281" t="s">
        <v>515</v>
      </c>
      <c r="B1" s="274"/>
      <c r="C1" s="274"/>
      <c r="D1" s="274"/>
      <c r="E1" s="274"/>
      <c r="F1" s="274"/>
      <c r="G1" s="274"/>
      <c r="H1" s="274"/>
      <c r="I1" s="274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spans="1:27" ht="15" customHeight="1">
      <c r="A2" s="281" t="s">
        <v>516</v>
      </c>
      <c r="B2" s="274"/>
      <c r="C2" s="274"/>
      <c r="D2" s="274"/>
      <c r="E2" s="274"/>
      <c r="F2" s="274"/>
      <c r="G2" s="274"/>
      <c r="H2" s="274"/>
      <c r="I2" s="274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spans="1:27" ht="15" customHeight="1">
      <c r="A3" s="281" t="s">
        <v>517</v>
      </c>
      <c r="B3" s="274"/>
      <c r="C3" s="274"/>
      <c r="D3" s="274"/>
      <c r="E3" s="274"/>
      <c r="F3" s="274"/>
      <c r="G3" s="274"/>
      <c r="H3" s="274"/>
      <c r="I3" s="274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spans="1:27" ht="15" customHeight="1">
      <c r="A4" s="281" t="s">
        <v>518</v>
      </c>
      <c r="B4" s="274"/>
      <c r="C4" s="274"/>
      <c r="D4" s="274"/>
      <c r="E4" s="274"/>
      <c r="F4" s="274"/>
      <c r="G4" s="274"/>
      <c r="H4" s="274"/>
      <c r="I4" s="274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spans="1:27" ht="15" customHeight="1">
      <c r="A5" s="159"/>
      <c r="B5" s="159"/>
      <c r="C5" s="159"/>
      <c r="D5" s="159"/>
      <c r="E5" s="159"/>
      <c r="F5" s="159"/>
      <c r="G5" s="159"/>
      <c r="H5" s="159"/>
      <c r="I5" s="159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spans="1:27" ht="15" customHeight="1">
      <c r="A6" s="140" t="s">
        <v>519</v>
      </c>
      <c r="B6" s="140"/>
      <c r="C6" s="140"/>
      <c r="D6" s="140"/>
      <c r="E6" s="140"/>
      <c r="F6" s="141"/>
      <c r="G6" s="141"/>
      <c r="H6" s="141"/>
      <c r="I6" s="160" t="s">
        <v>520</v>
      </c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38"/>
    </row>
    <row r="7" spans="1:27" ht="15" customHeight="1">
      <c r="A7" s="140"/>
      <c r="B7" s="140"/>
      <c r="C7" s="140"/>
      <c r="D7" s="140"/>
      <c r="E7" s="140"/>
      <c r="F7" s="141"/>
      <c r="G7" s="141"/>
      <c r="H7" s="141"/>
      <c r="I7" s="160" t="s">
        <v>521</v>
      </c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38"/>
    </row>
    <row r="8" spans="1:27" ht="15" customHeight="1">
      <c r="A8" s="140"/>
      <c r="B8" s="140"/>
      <c r="C8" s="140"/>
      <c r="D8" s="140"/>
      <c r="E8" s="140"/>
      <c r="F8" s="141"/>
      <c r="G8" s="141"/>
      <c r="H8" s="141"/>
      <c r="I8" s="160" t="s">
        <v>522</v>
      </c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38"/>
    </row>
    <row r="9" spans="1:27" ht="15" customHeight="1">
      <c r="A9" s="140"/>
      <c r="B9" s="140"/>
      <c r="C9" s="140"/>
      <c r="D9" s="140"/>
      <c r="E9" s="140"/>
      <c r="F9" s="141"/>
      <c r="G9" s="141"/>
      <c r="H9" s="141"/>
      <c r="I9" s="160" t="s">
        <v>550</v>
      </c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38"/>
    </row>
    <row r="10" spans="1:27" ht="15" customHeight="1">
      <c r="A10" s="140"/>
      <c r="B10" s="140"/>
      <c r="C10" s="140"/>
      <c r="D10" s="140"/>
      <c r="E10" s="140"/>
      <c r="F10" s="144"/>
      <c r="G10" s="144"/>
      <c r="H10" s="144"/>
      <c r="I10" s="161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  <c r="AA10" s="145"/>
    </row>
    <row r="11" spans="1:27" ht="12.75" customHeight="1">
      <c r="A11" s="275" t="s">
        <v>524</v>
      </c>
      <c r="B11" s="277" t="s">
        <v>525</v>
      </c>
      <c r="C11" s="146" t="s">
        <v>526</v>
      </c>
      <c r="D11" s="146" t="s">
        <v>527</v>
      </c>
      <c r="E11" s="146" t="s">
        <v>528</v>
      </c>
      <c r="F11" s="146" t="s">
        <v>529</v>
      </c>
      <c r="G11" s="146" t="s">
        <v>530</v>
      </c>
      <c r="H11" s="146" t="s">
        <v>531</v>
      </c>
      <c r="I11" s="146" t="s">
        <v>532</v>
      </c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  <c r="AA11" s="147"/>
    </row>
    <row r="12" spans="1:27" ht="12.75" customHeight="1">
      <c r="A12" s="276"/>
      <c r="B12" s="276"/>
      <c r="C12" s="278">
        <v>45901</v>
      </c>
      <c r="D12" s="279"/>
      <c r="E12" s="279"/>
      <c r="F12" s="279"/>
      <c r="G12" s="279"/>
      <c r="H12" s="279"/>
      <c r="I12" s="280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  <c r="AA12" s="147"/>
    </row>
    <row r="13" spans="1:27" ht="12.75" customHeight="1">
      <c r="A13" s="148"/>
      <c r="B13" s="149"/>
      <c r="C13" s="150">
        <f t="shared" ref="C13:I13" si="0">B13+1</f>
        <v>1</v>
      </c>
      <c r="D13" s="150">
        <f t="shared" si="0"/>
        <v>2</v>
      </c>
      <c r="E13" s="150">
        <f t="shared" si="0"/>
        <v>3</v>
      </c>
      <c r="F13" s="150">
        <f t="shared" si="0"/>
        <v>4</v>
      </c>
      <c r="G13" s="150">
        <f t="shared" si="0"/>
        <v>5</v>
      </c>
      <c r="H13" s="150">
        <f t="shared" si="0"/>
        <v>6</v>
      </c>
      <c r="I13" s="150">
        <f t="shared" si="0"/>
        <v>7</v>
      </c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  <c r="AA13" s="147"/>
    </row>
    <row r="14" spans="1:27" ht="84.75" customHeight="1">
      <c r="A14" s="195"/>
      <c r="B14" s="195"/>
      <c r="C14" s="198" t="s">
        <v>557</v>
      </c>
      <c r="D14" s="199" t="s">
        <v>558</v>
      </c>
      <c r="E14" s="195"/>
      <c r="F14" s="196"/>
      <c r="G14" s="200" t="s">
        <v>559</v>
      </c>
      <c r="H14" s="195"/>
      <c r="I14" s="195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  <c r="AA14" s="147"/>
    </row>
    <row r="15" spans="1:27" ht="12.75" customHeight="1">
      <c r="A15" s="148"/>
      <c r="B15" s="148"/>
      <c r="C15" s="153">
        <f>I13+1</f>
        <v>8</v>
      </c>
      <c r="D15" s="150">
        <f t="shared" ref="D15:I15" si="1">C15+1</f>
        <v>9</v>
      </c>
      <c r="E15" s="150">
        <f t="shared" si="1"/>
        <v>10</v>
      </c>
      <c r="F15" s="150">
        <f t="shared" si="1"/>
        <v>11</v>
      </c>
      <c r="G15" s="185">
        <f t="shared" si="1"/>
        <v>12</v>
      </c>
      <c r="H15" s="150">
        <f t="shared" si="1"/>
        <v>13</v>
      </c>
      <c r="I15" s="150">
        <f t="shared" si="1"/>
        <v>14</v>
      </c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  <c r="AA15" s="147"/>
    </row>
    <row r="16" spans="1:27" ht="84.75" customHeight="1">
      <c r="A16" s="186"/>
      <c r="B16" s="186"/>
      <c r="C16" s="197"/>
      <c r="D16" s="197"/>
      <c r="E16" s="197"/>
      <c r="F16" s="286" t="s">
        <v>560</v>
      </c>
      <c r="G16" s="287"/>
      <c r="H16" s="201"/>
      <c r="I16" s="195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  <c r="AA16" s="147"/>
    </row>
    <row r="17" spans="1:27" ht="12.75" customHeight="1">
      <c r="A17" s="148"/>
      <c r="B17" s="148"/>
      <c r="C17" s="150">
        <f>I15+1</f>
        <v>15</v>
      </c>
      <c r="D17" s="150">
        <f t="shared" ref="D17:I17" si="2">C17+1</f>
        <v>16</v>
      </c>
      <c r="E17" s="150">
        <f t="shared" si="2"/>
        <v>17</v>
      </c>
      <c r="F17" s="150">
        <f t="shared" si="2"/>
        <v>18</v>
      </c>
      <c r="G17" s="153">
        <f t="shared" si="2"/>
        <v>19</v>
      </c>
      <c r="H17" s="150">
        <f t="shared" si="2"/>
        <v>20</v>
      </c>
      <c r="I17" s="150">
        <f t="shared" si="2"/>
        <v>21</v>
      </c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  <c r="AA17" s="147"/>
    </row>
    <row r="18" spans="1:27" ht="84.75" customHeight="1">
      <c r="A18" s="186"/>
      <c r="B18" s="186"/>
      <c r="C18" s="197"/>
      <c r="D18" s="195"/>
      <c r="E18" s="195"/>
      <c r="F18" s="195"/>
      <c r="G18" s="195"/>
      <c r="H18" s="202"/>
      <c r="I18" s="195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  <c r="AA18" s="147"/>
    </row>
    <row r="19" spans="1:27" ht="12.75" customHeight="1">
      <c r="A19" s="148"/>
      <c r="B19" s="148"/>
      <c r="C19" s="150">
        <f>I17+1</f>
        <v>22</v>
      </c>
      <c r="D19" s="150">
        <f t="shared" ref="D19:I19" si="3">C19+1</f>
        <v>23</v>
      </c>
      <c r="E19" s="150">
        <f t="shared" si="3"/>
        <v>24</v>
      </c>
      <c r="F19" s="150">
        <f t="shared" si="3"/>
        <v>25</v>
      </c>
      <c r="G19" s="150">
        <f t="shared" si="3"/>
        <v>26</v>
      </c>
      <c r="H19" s="150">
        <f t="shared" si="3"/>
        <v>27</v>
      </c>
      <c r="I19" s="150">
        <f t="shared" si="3"/>
        <v>28</v>
      </c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  <c r="AA19" s="147"/>
    </row>
    <row r="20" spans="1:27" ht="84.75" customHeight="1">
      <c r="A20" s="186"/>
      <c r="B20" s="186"/>
      <c r="C20" s="197"/>
      <c r="D20" s="195"/>
      <c r="E20" s="195"/>
      <c r="F20" s="195"/>
      <c r="G20" s="195"/>
      <c r="H20" s="195"/>
      <c r="I20" s="195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  <c r="AA20" s="147"/>
    </row>
    <row r="21" spans="1:27" ht="12.75" customHeight="1">
      <c r="A21" s="148"/>
      <c r="B21" s="148"/>
      <c r="C21" s="150">
        <f>I19+1</f>
        <v>29</v>
      </c>
      <c r="D21" s="150">
        <f>C21+1</f>
        <v>30</v>
      </c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  <c r="AA21" s="147"/>
    </row>
    <row r="22" spans="1:27" ht="49.5" customHeight="1">
      <c r="A22" s="195"/>
      <c r="B22" s="195"/>
      <c r="C22" s="195"/>
      <c r="D22" s="195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  <c r="AA22" s="147"/>
    </row>
    <row r="23" spans="1:27" ht="12.75" customHeight="1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  <c r="AA23" s="147"/>
    </row>
    <row r="24" spans="1:27" ht="12.75" customHeight="1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  <c r="AA24" s="147"/>
    </row>
    <row r="25" spans="1:27" ht="12.75" customHeight="1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  <c r="AA25" s="147"/>
    </row>
    <row r="26" spans="1:27" ht="12.75" customHeight="1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  <c r="AA26" s="147"/>
    </row>
    <row r="27" spans="1:27" ht="12.75" customHeight="1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  <c r="AA27" s="147"/>
    </row>
    <row r="28" spans="1:27" ht="12.75" customHeight="1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  <c r="AA28" s="147"/>
    </row>
    <row r="29" spans="1:27" ht="12.75" customHeight="1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  <c r="AA29" s="147"/>
    </row>
    <row r="30" spans="1:27" ht="12.75" customHeight="1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  <c r="AA30" s="147"/>
    </row>
    <row r="31" spans="1:27" ht="12.75" customHeight="1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  <c r="AA31" s="147"/>
    </row>
    <row r="32" spans="1:27" ht="12.75" customHeight="1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  <c r="AA32" s="147"/>
    </row>
    <row r="33" spans="1:27" ht="12.75" customHeight="1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  <c r="AA33" s="147"/>
    </row>
    <row r="34" spans="1:27" ht="12.75" customHeight="1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  <c r="AA34" s="147"/>
    </row>
    <row r="35" spans="1:27" ht="12.75" customHeight="1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  <c r="AA35" s="147"/>
    </row>
    <row r="36" spans="1:27" ht="12.75" customHeight="1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  <c r="AA36" s="147"/>
    </row>
    <row r="37" spans="1:27" ht="12.75" customHeight="1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47"/>
    </row>
    <row r="38" spans="1:27" ht="12.75" customHeight="1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  <c r="AA38" s="147"/>
    </row>
    <row r="39" spans="1:27" ht="12.75" customHeight="1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  <c r="AA39" s="147"/>
    </row>
    <row r="40" spans="1:27" ht="12.75" customHeight="1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  <c r="AA40" s="147"/>
    </row>
    <row r="41" spans="1:27" ht="12.75" customHeight="1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47"/>
    </row>
    <row r="42" spans="1:27" ht="12.75" customHeight="1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47"/>
    </row>
    <row r="43" spans="1:27" ht="12.75" customHeight="1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  <c r="AA43" s="147"/>
    </row>
    <row r="44" spans="1:27" ht="12.75" customHeight="1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  <c r="AA44" s="147"/>
    </row>
    <row r="45" spans="1:27" ht="12.75" customHeight="1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  <c r="AA45" s="147"/>
    </row>
    <row r="46" spans="1:27" ht="12.75" customHeight="1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  <c r="AA46" s="147"/>
    </row>
    <row r="47" spans="1:27" ht="12.75" customHeight="1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  <c r="AA47" s="147"/>
    </row>
    <row r="48" spans="1:27" ht="12.75" customHeight="1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  <c r="AA48" s="147"/>
    </row>
    <row r="49" spans="1:27" ht="12.75" customHeight="1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  <c r="AA49" s="147"/>
    </row>
    <row r="50" spans="1:27" ht="12.75" customHeight="1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  <c r="AA50" s="147"/>
    </row>
    <row r="51" spans="1:27" ht="12.75" customHeight="1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  <c r="AA51" s="147"/>
    </row>
    <row r="52" spans="1:27" ht="12.75" customHeight="1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  <c r="AA52" s="147"/>
    </row>
    <row r="53" spans="1:27" ht="12.75" customHeight="1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  <c r="AA53" s="147"/>
    </row>
    <row r="54" spans="1:27" ht="12.75" customHeight="1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  <c r="AA54" s="147"/>
    </row>
    <row r="55" spans="1:27" ht="12.75" customHeight="1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  <c r="AA55" s="147"/>
    </row>
    <row r="56" spans="1:27" ht="12.75" customHeight="1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  <c r="AA56" s="147"/>
    </row>
    <row r="57" spans="1:27" ht="12.75" customHeight="1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  <c r="AA57" s="147"/>
    </row>
    <row r="58" spans="1:27" ht="12.75" customHeight="1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  <c r="AA58" s="147"/>
    </row>
    <row r="59" spans="1:27" ht="12.75" customHeight="1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  <c r="AA59" s="147"/>
    </row>
    <row r="60" spans="1:27" ht="12.75" customHeight="1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  <c r="AA60" s="147"/>
    </row>
    <row r="61" spans="1:27" ht="12.75" customHeight="1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  <c r="AA61" s="147"/>
    </row>
    <row r="62" spans="1:27" ht="12.75" customHeight="1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  <c r="AA62" s="147"/>
    </row>
    <row r="63" spans="1:27" ht="12.75" customHeight="1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</row>
    <row r="64" spans="1:27" ht="12.75" customHeight="1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  <c r="AA64" s="147"/>
    </row>
    <row r="65" spans="1:27" ht="12.75" customHeight="1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  <c r="AA65" s="147"/>
    </row>
    <row r="66" spans="1:27" ht="12.75" customHeight="1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  <c r="AA66" s="147"/>
    </row>
    <row r="67" spans="1:27" ht="12.75" customHeight="1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  <c r="AA67" s="147"/>
    </row>
    <row r="68" spans="1:27" ht="12.75" customHeight="1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  <c r="AA68" s="147"/>
    </row>
    <row r="69" spans="1:27" ht="12.75" customHeight="1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</row>
    <row r="70" spans="1:27" ht="12.75" customHeight="1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  <c r="AA70" s="147"/>
    </row>
    <row r="71" spans="1:27" ht="12.75" customHeight="1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  <c r="AA71" s="147"/>
    </row>
    <row r="72" spans="1:27" ht="12.75" customHeight="1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  <c r="AA72" s="147"/>
    </row>
    <row r="73" spans="1:27" ht="12.75" customHeight="1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  <c r="AA73" s="147"/>
    </row>
    <row r="74" spans="1:27" ht="12.75" customHeight="1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  <c r="AA74" s="147"/>
    </row>
    <row r="75" spans="1:27" ht="12.75" customHeight="1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  <c r="AA75" s="147"/>
    </row>
    <row r="76" spans="1:27" ht="12.75" customHeight="1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  <c r="AA76" s="147"/>
    </row>
    <row r="77" spans="1:27" ht="12.75" customHeight="1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  <c r="AA77" s="147"/>
    </row>
    <row r="78" spans="1:27" ht="12.75" customHeight="1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</row>
    <row r="79" spans="1:27" ht="12.75" customHeight="1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  <c r="AA79" s="147"/>
    </row>
    <row r="80" spans="1:27" ht="12.75" customHeight="1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  <c r="AA80" s="147"/>
    </row>
    <row r="81" spans="1:27" ht="12.75" customHeight="1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  <c r="AA81" s="147"/>
    </row>
    <row r="82" spans="1:27" ht="12.75" customHeight="1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  <c r="AA82" s="147"/>
    </row>
    <row r="83" spans="1:27" ht="12.75" customHeight="1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  <c r="AA83" s="147"/>
    </row>
    <row r="84" spans="1:27" ht="12.75" customHeight="1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  <c r="AA84" s="147"/>
    </row>
    <row r="85" spans="1:27" ht="12.75" customHeight="1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  <c r="AA85" s="147"/>
    </row>
    <row r="86" spans="1:27" ht="12.75" customHeight="1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  <c r="AA86" s="147"/>
    </row>
    <row r="87" spans="1:27" ht="12.75" customHeight="1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  <c r="AA87" s="147"/>
    </row>
    <row r="88" spans="1:27" ht="12.75" customHeight="1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  <c r="AA88" s="147"/>
    </row>
    <row r="89" spans="1:27" ht="12.75" customHeight="1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  <c r="AA89" s="147"/>
    </row>
    <row r="90" spans="1:27" ht="12.75" customHeight="1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47"/>
    </row>
    <row r="91" spans="1:27" ht="12.75" customHeight="1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  <c r="AA91" s="147"/>
    </row>
    <row r="92" spans="1:27" ht="12.75" customHeight="1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  <c r="AA92" s="147"/>
    </row>
    <row r="93" spans="1:27" ht="12.75" customHeight="1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  <c r="AA93" s="147"/>
    </row>
    <row r="94" spans="1:27" ht="12.75" customHeight="1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  <c r="AA94" s="147"/>
    </row>
    <row r="95" spans="1:27" ht="12.75" customHeight="1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  <c r="AA95" s="147"/>
    </row>
    <row r="96" spans="1:27" ht="12.75" customHeight="1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  <c r="AA96" s="147"/>
    </row>
    <row r="97" spans="1:27" ht="12.75" customHeight="1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  <c r="AA97" s="147"/>
    </row>
    <row r="98" spans="1:27" ht="12.75" customHeight="1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  <c r="AA98" s="147"/>
    </row>
    <row r="99" spans="1:27" ht="12.75" customHeight="1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  <c r="AA99" s="147"/>
    </row>
    <row r="100" spans="1:27" ht="12.75" customHeight="1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</row>
    <row r="101" spans="1:27" ht="12.75" customHeight="1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</row>
    <row r="102" spans="1:27" ht="12.75" customHeight="1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</row>
    <row r="103" spans="1:27" ht="12.75" customHeight="1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</row>
    <row r="104" spans="1:27" ht="12.75" customHeight="1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</row>
    <row r="105" spans="1:27" ht="12.75" customHeight="1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</row>
    <row r="106" spans="1:27" ht="12.75" customHeight="1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</row>
    <row r="107" spans="1:27" ht="12.75" customHeight="1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</row>
    <row r="108" spans="1:27" ht="12.75" customHeight="1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</row>
    <row r="109" spans="1:27" ht="12.75" customHeight="1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</row>
    <row r="110" spans="1:27" ht="12.75" customHeight="1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</row>
    <row r="111" spans="1:27" ht="12.75" customHeight="1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</row>
    <row r="112" spans="1:27" ht="12.75" customHeight="1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</row>
    <row r="113" spans="1:27" ht="12.75" customHeight="1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</row>
    <row r="114" spans="1:27" ht="12.75" customHeight="1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</row>
    <row r="115" spans="1:27" ht="12.75" customHeight="1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</row>
    <row r="116" spans="1:27" ht="12.75" customHeight="1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</row>
    <row r="117" spans="1:27" ht="12.75" customHeight="1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</row>
    <row r="118" spans="1:27" ht="12.75" customHeight="1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</row>
    <row r="119" spans="1:27" ht="12.75" customHeight="1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</row>
    <row r="120" spans="1:27" ht="12.75" customHeight="1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</row>
    <row r="121" spans="1:27" ht="12.75" customHeight="1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</row>
    <row r="122" spans="1:27" ht="12.75" customHeight="1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</row>
    <row r="123" spans="1:27" ht="12.75" customHeight="1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</row>
    <row r="124" spans="1:27" ht="12.75" customHeight="1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</row>
    <row r="125" spans="1:27" ht="12.75" customHeight="1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</row>
    <row r="126" spans="1:27" ht="12.75" customHeight="1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</row>
    <row r="127" spans="1:27" ht="12.75" customHeight="1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</row>
    <row r="128" spans="1:27" ht="12.75" customHeight="1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</row>
    <row r="129" spans="1:27" ht="12.75" customHeight="1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</row>
    <row r="130" spans="1:27" ht="12.75" customHeight="1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</row>
    <row r="131" spans="1:27" ht="12.75" customHeight="1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</row>
    <row r="132" spans="1:27" ht="12.75" customHeight="1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</row>
    <row r="133" spans="1:27" ht="12.75" customHeight="1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</row>
    <row r="134" spans="1:27" ht="12.75" customHeight="1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</row>
    <row r="135" spans="1:27" ht="12.75" customHeight="1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</row>
    <row r="136" spans="1:27" ht="12.75" customHeight="1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</row>
    <row r="137" spans="1:27" ht="12.75" customHeight="1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</row>
    <row r="138" spans="1:27" ht="12.75" customHeight="1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</row>
    <row r="139" spans="1:27" ht="12.75" customHeight="1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</row>
    <row r="140" spans="1:27" ht="12.75" customHeight="1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</row>
    <row r="141" spans="1:27" ht="12.75" customHeight="1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</row>
    <row r="142" spans="1:27" ht="12.75" customHeight="1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</row>
    <row r="143" spans="1:27" ht="12.75" customHeight="1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</row>
    <row r="144" spans="1:27" ht="12.75" customHeight="1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</row>
    <row r="145" spans="1:27" ht="12.75" customHeight="1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</row>
    <row r="146" spans="1:27" ht="12.75" customHeight="1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</row>
    <row r="147" spans="1:27" ht="12.75" customHeight="1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</row>
    <row r="148" spans="1:27" ht="12.75" customHeight="1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</row>
    <row r="149" spans="1:27" ht="12.75" customHeight="1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</row>
    <row r="150" spans="1:27" ht="12.75" customHeight="1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</row>
    <row r="151" spans="1:27" ht="12.75" customHeight="1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</row>
    <row r="152" spans="1:27" ht="12.75" customHeight="1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</row>
    <row r="153" spans="1:27" ht="12.75" customHeight="1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</row>
    <row r="154" spans="1:27" ht="12.75" customHeight="1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</row>
    <row r="155" spans="1:27" ht="12.75" customHeight="1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</row>
    <row r="156" spans="1:27" ht="12.75" customHeight="1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</row>
    <row r="157" spans="1:27" ht="12.75" customHeight="1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</row>
    <row r="158" spans="1:27" ht="12.75" customHeight="1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</row>
    <row r="159" spans="1:27" ht="12.75" customHeight="1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</row>
    <row r="160" spans="1:27" ht="12.75" customHeight="1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</row>
    <row r="161" spans="1:27" ht="12.75" customHeight="1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</row>
    <row r="162" spans="1:27" ht="12.75" customHeight="1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</row>
    <row r="163" spans="1:27" ht="12.75" customHeight="1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</row>
    <row r="164" spans="1:27" ht="12.75" customHeight="1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</row>
    <row r="165" spans="1:27" ht="12.75" customHeight="1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</row>
    <row r="166" spans="1:27" ht="12.75" customHeight="1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</row>
    <row r="167" spans="1:27" ht="12.75" customHeight="1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</row>
    <row r="168" spans="1:27" ht="12.75" customHeight="1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</row>
    <row r="169" spans="1:27" ht="12.75" customHeight="1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</row>
    <row r="170" spans="1:27" ht="12.75" customHeight="1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</row>
    <row r="171" spans="1:27" ht="12.75" customHeight="1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</row>
    <row r="172" spans="1:27" ht="12.75" customHeight="1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</row>
    <row r="173" spans="1:27" ht="12.75" customHeight="1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</row>
    <row r="174" spans="1:27" ht="12.75" customHeight="1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</row>
    <row r="175" spans="1:27" ht="12.75" customHeight="1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</row>
    <row r="176" spans="1:27" ht="12.75" customHeight="1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</row>
    <row r="177" spans="1:27" ht="12.75" customHeight="1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</row>
    <row r="178" spans="1:27" ht="12.75" customHeight="1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</row>
    <row r="179" spans="1:27" ht="12.75" customHeight="1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</row>
    <row r="180" spans="1:27" ht="12.75" customHeight="1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</row>
    <row r="181" spans="1:27" ht="12.75" customHeight="1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</row>
    <row r="182" spans="1:27" ht="12.75" customHeight="1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</row>
    <row r="183" spans="1:27" ht="12.75" customHeight="1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</row>
    <row r="184" spans="1:27" ht="12.75" customHeight="1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</row>
    <row r="185" spans="1:27" ht="12.75" customHeight="1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</row>
    <row r="186" spans="1:27" ht="12.75" customHeight="1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</row>
    <row r="187" spans="1:27" ht="12.75" customHeight="1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</row>
    <row r="188" spans="1:27" ht="12.75" customHeight="1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</row>
    <row r="189" spans="1:27" ht="12.75" customHeight="1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</row>
    <row r="190" spans="1:27" ht="12.75" customHeight="1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</row>
    <row r="191" spans="1:27" ht="12.75" customHeight="1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</row>
    <row r="192" spans="1:27" ht="12.75" customHeight="1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</row>
    <row r="193" spans="1:27" ht="12.75" customHeight="1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</row>
    <row r="194" spans="1:27" ht="12.75" customHeight="1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</row>
    <row r="195" spans="1:27" ht="12.75" customHeight="1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</row>
    <row r="196" spans="1:27" ht="12.75" customHeight="1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</row>
    <row r="197" spans="1:27" ht="12.75" customHeight="1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</row>
    <row r="198" spans="1:27" ht="12.75" customHeight="1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</row>
    <row r="199" spans="1:27" ht="12.75" customHeight="1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</row>
    <row r="200" spans="1:27" ht="12.75" customHeight="1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</row>
    <row r="201" spans="1:27" ht="12.75" customHeight="1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</row>
    <row r="202" spans="1:27" ht="12.75" customHeight="1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</row>
    <row r="203" spans="1:27" ht="12.75" customHeight="1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</row>
    <row r="204" spans="1:27" ht="12.75" customHeight="1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</row>
    <row r="205" spans="1:27" ht="12.75" customHeight="1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</row>
    <row r="206" spans="1:27" ht="12.75" customHeight="1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</row>
    <row r="207" spans="1:27" ht="12.75" customHeight="1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</row>
    <row r="208" spans="1:27" ht="12.75" customHeight="1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</row>
    <row r="209" spans="1:27" ht="12.75" customHeight="1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</row>
    <row r="210" spans="1:27" ht="12.75" customHeight="1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</row>
    <row r="211" spans="1:27" ht="12.75" customHeight="1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</row>
    <row r="212" spans="1:27" ht="12.75" customHeight="1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</row>
    <row r="213" spans="1:27" ht="12.75" customHeight="1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</row>
    <row r="214" spans="1:27" ht="12.75" customHeight="1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</row>
    <row r="215" spans="1:27" ht="12.75" customHeight="1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</row>
    <row r="216" spans="1:27" ht="12.75" customHeight="1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</row>
    <row r="217" spans="1:27" ht="12.75" customHeight="1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</row>
    <row r="218" spans="1:27" ht="12.75" customHeight="1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</row>
    <row r="219" spans="1:27" ht="12.75" customHeight="1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</row>
    <row r="220" spans="1:27" ht="15.75" customHeight="1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  <c r="AA220" s="184"/>
    </row>
    <row r="221" spans="1:27" ht="15.75" customHeight="1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  <c r="AA221" s="184"/>
    </row>
    <row r="222" spans="1:27" ht="15.75" customHeight="1"/>
    <row r="223" spans="1:27" ht="15.75" customHeight="1"/>
    <row r="224" spans="1:27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F16:G16"/>
    <mergeCell ref="A1:I1"/>
    <mergeCell ref="A2:I2"/>
    <mergeCell ref="A3:I3"/>
    <mergeCell ref="A4:I4"/>
    <mergeCell ref="A11:A12"/>
    <mergeCell ref="B11:B12"/>
    <mergeCell ref="C12:I12"/>
  </mergeCells>
  <pageMargins left="0" right="0" top="0" bottom="0" header="0" footer="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00FF"/>
    <outlinePr summaryBelow="0" summaryRight="0"/>
  </sheetPr>
  <dimension ref="A1:T1000"/>
  <sheetViews>
    <sheetView workbookViewId="0">
      <selection sqref="A1:G1"/>
    </sheetView>
  </sheetViews>
  <sheetFormatPr defaultColWidth="12.6640625" defaultRowHeight="15" customHeight="1"/>
  <cols>
    <col min="1" max="1" width="15.6640625" customWidth="1"/>
    <col min="2" max="6" width="12.6640625" customWidth="1"/>
  </cols>
  <sheetData>
    <row r="1" spans="1:20" ht="14.4">
      <c r="A1" s="288" t="s">
        <v>561</v>
      </c>
      <c r="B1" s="289"/>
      <c r="C1" s="289"/>
      <c r="D1" s="289"/>
      <c r="E1" s="289"/>
      <c r="F1" s="289"/>
      <c r="G1" s="289"/>
    </row>
    <row r="3" spans="1:20" ht="14.4">
      <c r="A3" s="288" t="s">
        <v>562</v>
      </c>
      <c r="B3" s="289"/>
      <c r="C3" s="289"/>
      <c r="D3" s="289"/>
      <c r="E3" s="289"/>
      <c r="F3" s="289"/>
      <c r="G3" s="289"/>
    </row>
    <row r="4" spans="1:20" ht="14.4">
      <c r="B4" s="204" t="s">
        <v>563</v>
      </c>
      <c r="C4" s="205"/>
      <c r="D4" s="205"/>
      <c r="E4" s="205"/>
      <c r="F4" s="205"/>
      <c r="G4" s="205"/>
    </row>
    <row r="5" spans="1:20" ht="14.4">
      <c r="A5" s="203" t="s">
        <v>9</v>
      </c>
      <c r="B5" s="206">
        <v>1</v>
      </c>
      <c r="C5" s="206">
        <v>2</v>
      </c>
      <c r="D5" s="206">
        <v>3</v>
      </c>
      <c r="E5" s="206">
        <v>4</v>
      </c>
      <c r="F5" s="206">
        <v>5</v>
      </c>
      <c r="G5" s="206">
        <v>6</v>
      </c>
      <c r="L5" s="203" t="s">
        <v>9</v>
      </c>
      <c r="M5" s="206">
        <v>1</v>
      </c>
      <c r="N5" s="206">
        <v>2</v>
      </c>
      <c r="O5" s="206">
        <v>3</v>
      </c>
      <c r="P5" s="206">
        <v>4</v>
      </c>
      <c r="Q5" s="206">
        <v>5</v>
      </c>
      <c r="R5" s="206">
        <v>6</v>
      </c>
      <c r="S5" s="206">
        <v>7</v>
      </c>
      <c r="T5" s="206">
        <v>8</v>
      </c>
    </row>
    <row r="6" spans="1:20" ht="14.4">
      <c r="A6" s="207" t="s">
        <v>564</v>
      </c>
      <c r="B6" s="208">
        <v>1</v>
      </c>
      <c r="C6" s="209">
        <v>9</v>
      </c>
      <c r="D6" s="209">
        <v>17</v>
      </c>
      <c r="E6" s="209">
        <v>25</v>
      </c>
      <c r="F6" s="209">
        <v>33</v>
      </c>
      <c r="G6" s="209">
        <v>41</v>
      </c>
      <c r="I6" s="207" t="s">
        <v>86</v>
      </c>
      <c r="J6" s="57">
        <v>8</v>
      </c>
      <c r="L6" s="207" t="s">
        <v>564</v>
      </c>
      <c r="M6" s="208">
        <v>1</v>
      </c>
      <c r="N6" s="209">
        <v>7</v>
      </c>
      <c r="O6" s="208">
        <v>13</v>
      </c>
      <c r="P6" s="208">
        <v>19</v>
      </c>
      <c r="Q6" s="209">
        <v>25</v>
      </c>
      <c r="R6" s="208">
        <v>31</v>
      </c>
      <c r="S6" s="208">
        <v>37</v>
      </c>
      <c r="T6" s="209">
        <v>43</v>
      </c>
    </row>
    <row r="7" spans="1:20" ht="14.4">
      <c r="A7" s="207" t="s">
        <v>565</v>
      </c>
      <c r="B7" s="210">
        <v>2</v>
      </c>
      <c r="C7" s="211">
        <v>10</v>
      </c>
      <c r="D7" s="211">
        <v>18</v>
      </c>
      <c r="E7" s="211">
        <v>26</v>
      </c>
      <c r="F7" s="211">
        <v>34</v>
      </c>
      <c r="G7" s="211">
        <v>42</v>
      </c>
      <c r="I7" s="57" t="s">
        <v>566</v>
      </c>
      <c r="J7" s="57">
        <v>5</v>
      </c>
      <c r="L7" s="207" t="s">
        <v>565</v>
      </c>
      <c r="M7" s="210">
        <v>2</v>
      </c>
      <c r="N7" s="211">
        <v>8</v>
      </c>
      <c r="O7" s="210">
        <v>14</v>
      </c>
      <c r="P7" s="210">
        <v>20</v>
      </c>
      <c r="Q7" s="211">
        <v>26</v>
      </c>
      <c r="R7" s="210">
        <v>32</v>
      </c>
      <c r="S7" s="210">
        <v>38</v>
      </c>
      <c r="T7" s="211">
        <v>44</v>
      </c>
    </row>
    <row r="8" spans="1:20" ht="14.4">
      <c r="A8" s="207" t="s">
        <v>567</v>
      </c>
      <c r="B8" s="210">
        <v>3</v>
      </c>
      <c r="C8" s="211">
        <v>11</v>
      </c>
      <c r="D8" s="211">
        <v>19</v>
      </c>
      <c r="E8" s="211">
        <v>27</v>
      </c>
      <c r="F8" s="211">
        <v>35</v>
      </c>
      <c r="G8" s="211">
        <v>43</v>
      </c>
      <c r="I8" s="207" t="s">
        <v>568</v>
      </c>
      <c r="J8" s="207" t="s">
        <v>13</v>
      </c>
      <c r="L8" s="207" t="s">
        <v>567</v>
      </c>
      <c r="M8" s="210">
        <v>3</v>
      </c>
      <c r="N8" s="209">
        <v>9</v>
      </c>
      <c r="O8" s="210">
        <v>15</v>
      </c>
      <c r="P8" s="210">
        <v>21</v>
      </c>
      <c r="Q8" s="209">
        <v>27</v>
      </c>
      <c r="R8" s="210">
        <v>33</v>
      </c>
      <c r="S8" s="210">
        <v>39</v>
      </c>
      <c r="T8" s="209">
        <v>45</v>
      </c>
    </row>
    <row r="9" spans="1:20" ht="14.4">
      <c r="A9" s="207" t="s">
        <v>569</v>
      </c>
      <c r="B9" s="210">
        <v>4</v>
      </c>
      <c r="C9" s="211">
        <v>12</v>
      </c>
      <c r="D9" s="211">
        <v>20</v>
      </c>
      <c r="E9" s="211">
        <v>28</v>
      </c>
      <c r="F9" s="211">
        <v>36</v>
      </c>
      <c r="G9" s="211">
        <v>44</v>
      </c>
      <c r="I9" s="207" t="s">
        <v>568</v>
      </c>
      <c r="J9" s="207" t="s">
        <v>14</v>
      </c>
      <c r="L9" s="207" t="s">
        <v>569</v>
      </c>
      <c r="M9" s="210">
        <v>4</v>
      </c>
      <c r="N9" s="211">
        <v>10</v>
      </c>
      <c r="O9" s="210">
        <v>16</v>
      </c>
      <c r="P9" s="212">
        <v>22</v>
      </c>
      <c r="Q9" s="211">
        <v>28</v>
      </c>
      <c r="R9" s="210">
        <v>34</v>
      </c>
      <c r="S9" s="210">
        <v>40</v>
      </c>
      <c r="T9" s="213">
        <v>46</v>
      </c>
    </row>
    <row r="10" spans="1:20" ht="14.4">
      <c r="A10" s="207" t="s">
        <v>570</v>
      </c>
      <c r="B10" s="210">
        <v>5</v>
      </c>
      <c r="C10" s="211">
        <v>13</v>
      </c>
      <c r="D10" s="211">
        <v>21</v>
      </c>
      <c r="E10" s="211">
        <v>29</v>
      </c>
      <c r="F10" s="211">
        <v>37</v>
      </c>
      <c r="G10" s="211">
        <v>45</v>
      </c>
      <c r="L10" s="207" t="s">
        <v>570</v>
      </c>
      <c r="M10" s="210">
        <v>5</v>
      </c>
      <c r="N10" s="209">
        <v>11</v>
      </c>
      <c r="O10" s="210">
        <v>17</v>
      </c>
      <c r="P10" s="212">
        <v>23</v>
      </c>
      <c r="Q10" s="209">
        <v>29</v>
      </c>
      <c r="R10" s="210">
        <v>35</v>
      </c>
      <c r="S10" s="210">
        <v>41</v>
      </c>
      <c r="T10" s="214">
        <v>47</v>
      </c>
    </row>
    <row r="11" spans="1:20" ht="14.4">
      <c r="A11" s="207" t="s">
        <v>571</v>
      </c>
      <c r="B11" s="210">
        <v>6</v>
      </c>
      <c r="C11" s="211">
        <v>14</v>
      </c>
      <c r="D11" s="215">
        <v>22</v>
      </c>
      <c r="E11" s="211">
        <v>30</v>
      </c>
      <c r="F11" s="211">
        <v>38</v>
      </c>
      <c r="G11" s="215">
        <v>46</v>
      </c>
      <c r="L11" s="207" t="s">
        <v>571</v>
      </c>
      <c r="M11" s="210">
        <v>6</v>
      </c>
      <c r="N11" s="211">
        <v>12</v>
      </c>
      <c r="O11" s="210">
        <v>18</v>
      </c>
      <c r="P11" s="212">
        <v>24</v>
      </c>
      <c r="Q11" s="211">
        <v>30</v>
      </c>
      <c r="R11" s="210">
        <v>36</v>
      </c>
      <c r="S11" s="210">
        <v>42</v>
      </c>
      <c r="T11" s="213">
        <v>48</v>
      </c>
    </row>
    <row r="12" spans="1:20" ht="14.4">
      <c r="A12" s="207" t="s">
        <v>572</v>
      </c>
      <c r="B12" s="210">
        <v>7</v>
      </c>
      <c r="C12" s="211">
        <v>15</v>
      </c>
      <c r="D12" s="215">
        <v>23</v>
      </c>
      <c r="E12" s="211">
        <v>31</v>
      </c>
      <c r="F12" s="211">
        <v>39</v>
      </c>
      <c r="G12" s="215">
        <v>47</v>
      </c>
    </row>
    <row r="13" spans="1:20" ht="14.4">
      <c r="A13" s="207" t="s">
        <v>573</v>
      </c>
      <c r="B13" s="210">
        <v>8</v>
      </c>
      <c r="C13" s="211">
        <v>16</v>
      </c>
      <c r="D13" s="215">
        <v>24</v>
      </c>
      <c r="E13" s="211">
        <v>32</v>
      </c>
      <c r="F13" s="211">
        <v>40</v>
      </c>
      <c r="G13" s="215">
        <v>48</v>
      </c>
    </row>
    <row r="16" spans="1:20" ht="14.4">
      <c r="A16" s="288" t="s">
        <v>574</v>
      </c>
      <c r="B16" s="289"/>
      <c r="C16" s="289"/>
      <c r="D16" s="289"/>
      <c r="E16" s="289"/>
      <c r="F16" s="289"/>
      <c r="G16" s="289"/>
    </row>
    <row r="17" spans="1:10" ht="14.4">
      <c r="B17" s="204" t="s">
        <v>563</v>
      </c>
    </row>
    <row r="18" spans="1:10" ht="14.4">
      <c r="A18" s="203" t="s">
        <v>9</v>
      </c>
      <c r="B18" s="206">
        <v>1</v>
      </c>
      <c r="C18" s="206">
        <v>2</v>
      </c>
      <c r="D18" s="206">
        <v>3</v>
      </c>
      <c r="E18" s="206">
        <v>4</v>
      </c>
      <c r="F18" s="206">
        <v>5</v>
      </c>
      <c r="G18" s="206">
        <v>6</v>
      </c>
    </row>
    <row r="19" spans="1:10" ht="14.4">
      <c r="A19" s="207" t="s">
        <v>575</v>
      </c>
      <c r="B19" s="208">
        <v>1</v>
      </c>
      <c r="C19" s="216">
        <v>12</v>
      </c>
      <c r="D19" s="217">
        <v>22</v>
      </c>
      <c r="E19" s="209">
        <v>25</v>
      </c>
      <c r="F19" s="216">
        <v>36</v>
      </c>
      <c r="G19" s="217">
        <v>46</v>
      </c>
      <c r="I19" s="207" t="s">
        <v>576</v>
      </c>
      <c r="J19" s="218">
        <v>11</v>
      </c>
    </row>
    <row r="20" spans="1:10" ht="14.4">
      <c r="A20" s="207" t="s">
        <v>577</v>
      </c>
      <c r="B20" s="210">
        <v>2</v>
      </c>
      <c r="C20" s="219">
        <v>13</v>
      </c>
      <c r="D20" s="220">
        <v>23</v>
      </c>
      <c r="E20" s="211">
        <v>26</v>
      </c>
      <c r="F20" s="219">
        <v>37</v>
      </c>
      <c r="G20" s="220">
        <v>47</v>
      </c>
      <c r="I20" s="207" t="s">
        <v>576</v>
      </c>
      <c r="J20" s="218">
        <v>10</v>
      </c>
    </row>
    <row r="21" spans="1:10" ht="15.75" customHeight="1">
      <c r="A21" s="207" t="s">
        <v>578</v>
      </c>
      <c r="B21" s="210">
        <v>3</v>
      </c>
      <c r="C21" s="219">
        <v>14</v>
      </c>
      <c r="D21" s="221">
        <v>24</v>
      </c>
      <c r="E21" s="211">
        <v>27</v>
      </c>
      <c r="F21" s="219">
        <v>38</v>
      </c>
      <c r="G21" s="221">
        <v>48</v>
      </c>
      <c r="I21" s="207" t="s">
        <v>579</v>
      </c>
      <c r="J21" s="207" t="s">
        <v>13</v>
      </c>
    </row>
    <row r="22" spans="1:10" ht="15.75" customHeight="1">
      <c r="A22" s="207" t="s">
        <v>580</v>
      </c>
      <c r="B22" s="210">
        <v>4</v>
      </c>
      <c r="C22" s="211">
        <v>15</v>
      </c>
      <c r="D22" s="222" t="s">
        <v>581</v>
      </c>
      <c r="E22" s="210">
        <v>28</v>
      </c>
      <c r="F22" s="211">
        <v>39</v>
      </c>
      <c r="G22" s="222" t="s">
        <v>581</v>
      </c>
      <c r="I22" s="207" t="s">
        <v>579</v>
      </c>
      <c r="J22" s="207" t="s">
        <v>14</v>
      </c>
    </row>
    <row r="23" spans="1:10" ht="15.75" customHeight="1">
      <c r="A23" s="207" t="s">
        <v>582</v>
      </c>
      <c r="B23" s="210">
        <v>5</v>
      </c>
      <c r="C23" s="211">
        <v>16</v>
      </c>
      <c r="D23" s="218"/>
      <c r="E23" s="210">
        <v>29</v>
      </c>
      <c r="F23" s="211">
        <v>40</v>
      </c>
      <c r="G23" s="218"/>
    </row>
    <row r="24" spans="1:10" ht="15.75" customHeight="1">
      <c r="A24" s="207" t="s">
        <v>583</v>
      </c>
      <c r="B24" s="210">
        <v>6</v>
      </c>
      <c r="C24" s="211">
        <v>17</v>
      </c>
      <c r="D24" s="218"/>
      <c r="E24" s="210">
        <v>30</v>
      </c>
      <c r="F24" s="211">
        <v>41</v>
      </c>
      <c r="G24" s="218"/>
    </row>
    <row r="25" spans="1:10" ht="15.75" customHeight="1">
      <c r="A25" s="207" t="s">
        <v>584</v>
      </c>
      <c r="B25" s="210">
        <v>7</v>
      </c>
      <c r="C25" s="211">
        <v>18</v>
      </c>
      <c r="D25" s="218"/>
      <c r="E25" s="210">
        <v>31</v>
      </c>
      <c r="F25" s="211">
        <v>42</v>
      </c>
      <c r="G25" s="218"/>
    </row>
    <row r="26" spans="1:10" ht="15.75" customHeight="1">
      <c r="A26" s="207" t="s">
        <v>585</v>
      </c>
      <c r="B26" s="210">
        <v>8</v>
      </c>
      <c r="C26" s="211">
        <v>19</v>
      </c>
      <c r="D26" s="218"/>
      <c r="E26" s="210">
        <v>32</v>
      </c>
      <c r="F26" s="211">
        <v>43</v>
      </c>
      <c r="G26" s="218"/>
    </row>
    <row r="27" spans="1:10" ht="15.75" customHeight="1">
      <c r="A27" s="207" t="s">
        <v>586</v>
      </c>
      <c r="B27" s="210">
        <v>9</v>
      </c>
      <c r="C27" s="211">
        <v>20</v>
      </c>
      <c r="D27" s="218"/>
      <c r="E27" s="210">
        <v>33</v>
      </c>
      <c r="F27" s="211">
        <v>44</v>
      </c>
      <c r="G27" s="218"/>
    </row>
    <row r="28" spans="1:10" ht="15.75" customHeight="1">
      <c r="A28" s="207" t="s">
        <v>587</v>
      </c>
      <c r="B28" s="210">
        <v>10</v>
      </c>
      <c r="C28" s="211">
        <v>21</v>
      </c>
      <c r="D28" s="218"/>
      <c r="E28" s="210">
        <v>34</v>
      </c>
      <c r="F28" s="211">
        <v>45</v>
      </c>
      <c r="G28" s="218"/>
    </row>
    <row r="29" spans="1:10" ht="15.75" customHeight="1">
      <c r="A29" s="207" t="s">
        <v>588</v>
      </c>
      <c r="B29" s="210">
        <v>11</v>
      </c>
      <c r="C29" s="218"/>
      <c r="D29" s="218"/>
      <c r="E29" s="210">
        <v>35</v>
      </c>
      <c r="F29" s="218"/>
      <c r="G29" s="218"/>
    </row>
    <row r="30" spans="1:10" ht="15.75" customHeight="1">
      <c r="C30" s="218"/>
      <c r="D30" s="218"/>
      <c r="E30" s="218"/>
      <c r="F30" s="218"/>
      <c r="G30" s="218"/>
    </row>
    <row r="31" spans="1:10" ht="15.75" customHeight="1">
      <c r="C31" s="218"/>
      <c r="D31" s="218"/>
      <c r="E31" s="218"/>
      <c r="F31" s="218"/>
      <c r="G31" s="218"/>
    </row>
    <row r="32" spans="1:10" ht="15.75" customHeight="1">
      <c r="A32" s="288" t="s">
        <v>589</v>
      </c>
      <c r="B32" s="289"/>
      <c r="C32" s="289"/>
      <c r="D32" s="289"/>
      <c r="E32" s="289"/>
      <c r="F32" s="289"/>
      <c r="G32" s="289"/>
    </row>
    <row r="33" spans="1:13" ht="15.75" customHeight="1">
      <c r="B33" s="204" t="s">
        <v>563</v>
      </c>
    </row>
    <row r="34" spans="1:13" ht="15.75" customHeight="1">
      <c r="A34" s="203" t="s">
        <v>9</v>
      </c>
      <c r="B34" s="206">
        <v>1</v>
      </c>
      <c r="C34" s="206">
        <v>2</v>
      </c>
      <c r="D34" s="206">
        <v>3</v>
      </c>
      <c r="E34" s="206">
        <v>4</v>
      </c>
      <c r="F34" s="206">
        <v>5</v>
      </c>
      <c r="G34" s="206">
        <v>6</v>
      </c>
      <c r="H34" s="206">
        <v>7</v>
      </c>
      <c r="I34" s="206">
        <v>8</v>
      </c>
      <c r="J34" s="206">
        <v>9</v>
      </c>
    </row>
    <row r="35" spans="1:13" ht="15.75" customHeight="1">
      <c r="A35" s="223" t="s">
        <v>590</v>
      </c>
      <c r="B35" s="208">
        <v>1</v>
      </c>
      <c r="C35" s="209">
        <v>6</v>
      </c>
      <c r="D35" s="209">
        <v>11</v>
      </c>
      <c r="E35" s="209">
        <v>16</v>
      </c>
      <c r="F35" s="209">
        <v>24</v>
      </c>
      <c r="G35" s="209">
        <v>29</v>
      </c>
      <c r="H35" s="209">
        <v>34</v>
      </c>
      <c r="I35" s="216">
        <v>39</v>
      </c>
      <c r="J35" s="224">
        <v>44</v>
      </c>
      <c r="L35" s="57" t="s">
        <v>591</v>
      </c>
      <c r="M35" s="57">
        <v>5</v>
      </c>
    </row>
    <row r="36" spans="1:13" ht="15.75" customHeight="1">
      <c r="A36" s="223" t="s">
        <v>592</v>
      </c>
      <c r="B36" s="210">
        <v>2</v>
      </c>
      <c r="C36" s="211">
        <v>7</v>
      </c>
      <c r="D36" s="211">
        <v>12</v>
      </c>
      <c r="E36" s="211">
        <v>17</v>
      </c>
      <c r="F36" s="211">
        <v>25</v>
      </c>
      <c r="G36" s="211">
        <v>30</v>
      </c>
      <c r="H36" s="211">
        <v>35</v>
      </c>
      <c r="I36" s="219">
        <v>40</v>
      </c>
      <c r="J36" s="225">
        <v>45</v>
      </c>
      <c r="L36" s="207" t="s">
        <v>581</v>
      </c>
      <c r="M36" s="207" t="s">
        <v>13</v>
      </c>
    </row>
    <row r="37" spans="1:13" ht="15.75" customHeight="1">
      <c r="A37" s="223" t="s">
        <v>593</v>
      </c>
      <c r="B37" s="210">
        <v>3</v>
      </c>
      <c r="C37" s="211">
        <v>8</v>
      </c>
      <c r="D37" s="211">
        <v>13</v>
      </c>
      <c r="E37" s="211">
        <v>18</v>
      </c>
      <c r="F37" s="211">
        <v>26</v>
      </c>
      <c r="G37" s="211">
        <v>31</v>
      </c>
      <c r="H37" s="211">
        <v>36</v>
      </c>
      <c r="I37" s="219">
        <v>41</v>
      </c>
      <c r="J37" s="220">
        <v>46</v>
      </c>
      <c r="L37" s="57" t="s">
        <v>594</v>
      </c>
      <c r="M37" s="57" t="s">
        <v>14</v>
      </c>
    </row>
    <row r="38" spans="1:13" ht="15.75" customHeight="1">
      <c r="A38" s="223" t="s">
        <v>595</v>
      </c>
      <c r="B38" s="210">
        <v>4</v>
      </c>
      <c r="C38" s="211">
        <v>9</v>
      </c>
      <c r="D38" s="211">
        <v>14</v>
      </c>
      <c r="E38" s="211">
        <v>19</v>
      </c>
      <c r="F38" s="211">
        <v>27</v>
      </c>
      <c r="G38" s="211">
        <v>32</v>
      </c>
      <c r="H38" s="211">
        <v>37</v>
      </c>
      <c r="I38" s="219">
        <v>42</v>
      </c>
      <c r="J38" s="220">
        <v>47</v>
      </c>
    </row>
    <row r="39" spans="1:13" ht="15.75" customHeight="1">
      <c r="A39" s="223" t="s">
        <v>596</v>
      </c>
      <c r="B39" s="210">
        <v>5</v>
      </c>
      <c r="C39" s="211">
        <v>10</v>
      </c>
      <c r="D39" s="211">
        <v>15</v>
      </c>
      <c r="E39" s="226">
        <v>20</v>
      </c>
      <c r="F39" s="211">
        <v>28</v>
      </c>
      <c r="G39" s="211">
        <v>33</v>
      </c>
      <c r="H39" s="211">
        <v>38</v>
      </c>
      <c r="I39" s="219">
        <v>43</v>
      </c>
      <c r="J39" s="221">
        <v>48</v>
      </c>
    </row>
    <row r="40" spans="1:13" ht="15.75" customHeight="1">
      <c r="A40" s="57"/>
      <c r="B40" s="218"/>
      <c r="C40" s="218"/>
      <c r="D40" s="218"/>
      <c r="E40" s="217">
        <v>21</v>
      </c>
      <c r="F40" s="218"/>
      <c r="G40" s="218"/>
      <c r="H40" s="218"/>
      <c r="I40" s="218"/>
      <c r="J40" s="222" t="s">
        <v>581</v>
      </c>
    </row>
    <row r="41" spans="1:13" ht="15.75" customHeight="1">
      <c r="B41" s="218"/>
      <c r="C41" s="218"/>
      <c r="D41" s="218"/>
      <c r="E41" s="220">
        <v>22</v>
      </c>
      <c r="F41" s="218"/>
      <c r="G41" s="218"/>
      <c r="H41" s="218"/>
      <c r="I41" s="218"/>
      <c r="J41" s="218"/>
    </row>
    <row r="42" spans="1:13" ht="15.75" customHeight="1">
      <c r="B42" s="218"/>
      <c r="C42" s="218"/>
      <c r="D42" s="218"/>
      <c r="E42" s="221">
        <v>23</v>
      </c>
      <c r="F42" s="218"/>
      <c r="G42" s="218"/>
      <c r="H42" s="218"/>
      <c r="I42" s="218"/>
      <c r="J42" s="218"/>
    </row>
    <row r="43" spans="1:13" ht="15.75" customHeight="1">
      <c r="E43" s="222" t="s">
        <v>581</v>
      </c>
    </row>
    <row r="44" spans="1:13" ht="15.75" customHeight="1"/>
    <row r="45" spans="1:13" ht="15.75" customHeight="1"/>
    <row r="46" spans="1:13" ht="15.75" customHeight="1"/>
    <row r="47" spans="1:13" ht="15.75" customHeight="1"/>
    <row r="48" spans="1:13" ht="15.75" customHeight="1"/>
    <row r="49" spans="1:16" ht="15.75" customHeight="1"/>
    <row r="50" spans="1:16" ht="15.75" customHeight="1">
      <c r="A50" s="203" t="s">
        <v>9</v>
      </c>
      <c r="B50" s="206">
        <v>1</v>
      </c>
      <c r="C50" s="206">
        <v>2</v>
      </c>
      <c r="D50" s="206">
        <v>3</v>
      </c>
      <c r="E50" s="206">
        <v>4</v>
      </c>
      <c r="F50" s="206">
        <v>5</v>
      </c>
      <c r="G50" s="206">
        <v>6</v>
      </c>
      <c r="H50" s="206">
        <v>7</v>
      </c>
      <c r="I50" s="206">
        <v>9</v>
      </c>
      <c r="J50" s="206">
        <v>10</v>
      </c>
      <c r="K50" s="206">
        <v>11</v>
      </c>
      <c r="L50" s="206">
        <v>12</v>
      </c>
      <c r="M50" s="206">
        <v>13</v>
      </c>
      <c r="N50" s="206">
        <v>14</v>
      </c>
      <c r="O50" s="206">
        <v>15</v>
      </c>
      <c r="P50" s="227">
        <v>16</v>
      </c>
    </row>
    <row r="51" spans="1:16" ht="15.75" customHeight="1">
      <c r="A51" s="207" t="s">
        <v>564</v>
      </c>
      <c r="B51" s="208">
        <v>1</v>
      </c>
      <c r="C51" s="209">
        <v>5</v>
      </c>
      <c r="D51" s="208">
        <v>9</v>
      </c>
      <c r="E51" s="209">
        <v>13</v>
      </c>
      <c r="F51" s="208">
        <v>17</v>
      </c>
      <c r="G51" s="209">
        <v>21</v>
      </c>
      <c r="H51" s="208">
        <v>25</v>
      </c>
      <c r="I51" s="208">
        <v>33</v>
      </c>
      <c r="J51" s="209">
        <v>37</v>
      </c>
      <c r="K51" s="208">
        <v>41</v>
      </c>
      <c r="L51" s="208">
        <v>45</v>
      </c>
      <c r="M51" s="209">
        <v>49</v>
      </c>
      <c r="N51" s="208">
        <v>53</v>
      </c>
      <c r="O51" s="209">
        <v>57</v>
      </c>
      <c r="P51" s="208">
        <v>61</v>
      </c>
    </row>
    <row r="52" spans="1:16" ht="15.75" customHeight="1">
      <c r="A52" s="207" t="s">
        <v>565</v>
      </c>
      <c r="B52" s="210">
        <v>2</v>
      </c>
      <c r="C52" s="211">
        <v>6</v>
      </c>
      <c r="D52" s="210">
        <v>10</v>
      </c>
      <c r="E52" s="211">
        <v>14</v>
      </c>
      <c r="F52" s="210">
        <v>18</v>
      </c>
      <c r="G52" s="211">
        <v>22</v>
      </c>
      <c r="H52" s="210">
        <v>26</v>
      </c>
      <c r="I52" s="210">
        <v>34</v>
      </c>
      <c r="J52" s="211">
        <v>38</v>
      </c>
      <c r="K52" s="210">
        <v>42</v>
      </c>
      <c r="L52" s="210">
        <v>46</v>
      </c>
      <c r="M52" s="211">
        <v>50</v>
      </c>
      <c r="N52" s="210">
        <v>54</v>
      </c>
      <c r="O52" s="211">
        <v>58</v>
      </c>
      <c r="P52" s="210">
        <v>62</v>
      </c>
    </row>
    <row r="53" spans="1:16" ht="15.75" customHeight="1">
      <c r="A53" s="207" t="s">
        <v>567</v>
      </c>
      <c r="B53" s="210">
        <v>3</v>
      </c>
      <c r="C53" s="211">
        <v>7</v>
      </c>
      <c r="D53" s="210">
        <v>11</v>
      </c>
      <c r="E53" s="211">
        <v>15</v>
      </c>
      <c r="F53" s="210">
        <v>19</v>
      </c>
      <c r="G53" s="211">
        <v>23</v>
      </c>
      <c r="H53" s="210">
        <v>27</v>
      </c>
      <c r="I53" s="210">
        <v>35</v>
      </c>
      <c r="J53" s="211">
        <v>39</v>
      </c>
      <c r="K53" s="210">
        <v>43</v>
      </c>
      <c r="L53" s="210">
        <v>47</v>
      </c>
      <c r="M53" s="211">
        <v>51</v>
      </c>
      <c r="N53" s="210">
        <v>55</v>
      </c>
      <c r="O53" s="211">
        <v>59</v>
      </c>
      <c r="P53" s="210">
        <v>63</v>
      </c>
    </row>
    <row r="54" spans="1:16" ht="15.75" customHeight="1">
      <c r="A54" s="207" t="s">
        <v>569</v>
      </c>
      <c r="B54" s="210">
        <v>4</v>
      </c>
      <c r="C54" s="211">
        <v>8</v>
      </c>
      <c r="D54" s="210">
        <v>12</v>
      </c>
      <c r="E54" s="211">
        <v>16</v>
      </c>
      <c r="F54" s="210">
        <v>20</v>
      </c>
      <c r="G54" s="211">
        <v>24</v>
      </c>
      <c r="H54" s="210">
        <v>28</v>
      </c>
      <c r="I54" s="210">
        <v>36</v>
      </c>
      <c r="J54" s="211">
        <v>40</v>
      </c>
      <c r="K54" s="210">
        <v>44</v>
      </c>
      <c r="L54" s="210">
        <v>48</v>
      </c>
      <c r="M54" s="211">
        <v>52</v>
      </c>
      <c r="N54" s="210">
        <v>56</v>
      </c>
      <c r="O54" s="211">
        <v>60</v>
      </c>
      <c r="P54" s="210">
        <v>64</v>
      </c>
    </row>
    <row r="55" spans="1:16" ht="15.75" customHeight="1"/>
    <row r="56" spans="1:16" ht="15.75" customHeight="1"/>
    <row r="57" spans="1:16" ht="15.75" customHeight="1"/>
    <row r="58" spans="1:16" ht="15.75" customHeight="1"/>
    <row r="59" spans="1:16" ht="15.75" customHeight="1"/>
    <row r="60" spans="1:16" ht="15.75" customHeight="1"/>
    <row r="61" spans="1:16" ht="15.75" customHeight="1"/>
    <row r="62" spans="1:16" ht="15.75" customHeight="1"/>
    <row r="63" spans="1:16" ht="15.75" customHeight="1"/>
    <row r="64" spans="1:1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G1"/>
    <mergeCell ref="A3:G3"/>
    <mergeCell ref="A16:G16"/>
    <mergeCell ref="A32:G3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00FF"/>
    <outlinePr summaryBelow="0" summaryRight="0"/>
  </sheetPr>
  <dimension ref="A1:AA1000"/>
  <sheetViews>
    <sheetView workbookViewId="0"/>
  </sheetViews>
  <sheetFormatPr defaultColWidth="12.6640625" defaultRowHeight="15" customHeight="1"/>
  <cols>
    <col min="1" max="1" width="12.6640625" customWidth="1"/>
    <col min="2" max="2" width="60" customWidth="1"/>
    <col min="3" max="3" width="9" customWidth="1"/>
    <col min="4" max="8" width="58.6640625" customWidth="1"/>
  </cols>
  <sheetData>
    <row r="1" spans="1:27" ht="14.4">
      <c r="D1" s="228"/>
      <c r="E1" s="228"/>
      <c r="F1" s="228"/>
      <c r="G1" s="228"/>
      <c r="H1" s="228"/>
    </row>
    <row r="2" spans="1:27" ht="14.4">
      <c r="A2" s="229" t="s">
        <v>597</v>
      </c>
      <c r="B2" s="230"/>
      <c r="C2" s="230"/>
      <c r="D2" s="231" t="s">
        <v>598</v>
      </c>
      <c r="E2" s="231" t="s">
        <v>599</v>
      </c>
      <c r="F2" s="231" t="s">
        <v>600</v>
      </c>
      <c r="G2" s="231" t="s">
        <v>601</v>
      </c>
      <c r="H2" s="232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</row>
    <row r="3" spans="1:27" ht="14.4">
      <c r="A3" s="230" t="s">
        <v>90</v>
      </c>
      <c r="B3" s="230" t="s">
        <v>91</v>
      </c>
      <c r="C3" s="230" t="str">
        <f t="shared" ref="C3:C12" si="0">A3 &amp; " " &amp; B3</f>
        <v>MM5001 Marketing Management</v>
      </c>
      <c r="D3" s="233" t="str">
        <f t="shared" ref="D3:D11" si="1">$C3 &amp; " 
8 Sessions " &amp; "
(08.30 - 16.55)"</f>
        <v>MM5001 Marketing Management 
8 Sessions 
(08.30 - 16.55)</v>
      </c>
      <c r="E3" s="233" t="str">
        <f t="shared" ref="E3:E11" si="2">$C3 &amp; " 
5 Sessions " &amp; "
(08.30 - 14.20)"</f>
        <v>MM5001 Marketing Management 
5 Sessions 
(08.30 - 14.20)</v>
      </c>
      <c r="F3" s="233" t="str">
        <f t="shared" ref="F3:F11" si="3">$E3 &amp; "
+
" &amp; " MID EXAM " &amp; "
(14.20 - 17.20)"</f>
        <v>MM5001 Marketing Management 
5 Sessions 
(08.30 - 14.20)
+
 MID EXAM 
(14.20 - 17.20)</v>
      </c>
      <c r="G3" s="233" t="str">
        <f t="shared" ref="G3:G11" si="4">$E3 &amp; "
+
" &amp; "FINAL EXAM " &amp; "
(14.20 - 17.20)"</f>
        <v>MM5001 Marketing Management 
5 Sessions 
(08.30 - 14.20)
+
FINAL EXAM 
(14.20 - 17.20)</v>
      </c>
      <c r="H3" s="232"/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</row>
    <row r="4" spans="1:27" ht="14.4">
      <c r="A4" s="230" t="s">
        <v>16</v>
      </c>
      <c r="B4" s="230" t="s">
        <v>17</v>
      </c>
      <c r="C4" s="230" t="str">
        <f t="shared" si="0"/>
        <v>MM5005 Economic and Business Landscape Analysis</v>
      </c>
      <c r="D4" s="233" t="str">
        <f t="shared" si="1"/>
        <v>MM5005 Economic and Business Landscape Analysis 
8 Sessions 
(08.30 - 16.55)</v>
      </c>
      <c r="E4" s="233" t="str">
        <f t="shared" si="2"/>
        <v>MM5005 Economic and Business Landscape Analysis 
5 Sessions 
(08.30 - 14.20)</v>
      </c>
      <c r="F4" s="233" t="str">
        <f t="shared" si="3"/>
        <v>MM5005 Economic and Business Landscape Analysis 
5 Sessions 
(08.30 - 14.20)
+
 MID EXAM 
(14.20 - 17.20)</v>
      </c>
      <c r="G4" s="233" t="str">
        <f t="shared" si="4"/>
        <v>MM5005 Economic and Business Landscape Analysis 
5 Sessions 
(08.30 - 14.20)
+
FINAL EXAM 
(14.20 - 17.20)</v>
      </c>
      <c r="H4" s="232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  <c r="Z4" s="230"/>
      <c r="AA4" s="230"/>
    </row>
    <row r="5" spans="1:27" ht="14.4">
      <c r="A5" s="230" t="s">
        <v>95</v>
      </c>
      <c r="B5" s="230" t="s">
        <v>36</v>
      </c>
      <c r="C5" s="230" t="str">
        <f t="shared" si="0"/>
        <v>MM5006 Financial Management and Policy</v>
      </c>
      <c r="D5" s="233" t="str">
        <f t="shared" si="1"/>
        <v>MM5006 Financial Management and Policy 
8 Sessions 
(08.30 - 16.55)</v>
      </c>
      <c r="E5" s="233" t="str">
        <f t="shared" si="2"/>
        <v>MM5006 Financial Management and Policy 
5 Sessions 
(08.30 - 14.20)</v>
      </c>
      <c r="F5" s="233" t="str">
        <f t="shared" si="3"/>
        <v>MM5006 Financial Management and Policy 
5 Sessions 
(08.30 - 14.20)
+
 MID EXAM 
(14.20 - 17.20)</v>
      </c>
      <c r="G5" s="233" t="str">
        <f t="shared" si="4"/>
        <v>MM5006 Financial Management and Policy 
5 Sessions 
(08.30 - 14.20)
+
FINAL EXAM 
(14.20 - 17.20)</v>
      </c>
      <c r="H5" s="232"/>
      <c r="I5" s="230"/>
      <c r="J5" s="230"/>
      <c r="K5" s="230"/>
      <c r="L5" s="230"/>
      <c r="M5" s="230"/>
      <c r="N5" s="230"/>
      <c r="O5" s="230"/>
      <c r="P5" s="230"/>
      <c r="Q5" s="230"/>
      <c r="R5" s="230"/>
      <c r="S5" s="230"/>
      <c r="T5" s="230"/>
      <c r="U5" s="230"/>
      <c r="V5" s="230"/>
      <c r="W5" s="230"/>
      <c r="X5" s="230"/>
      <c r="Y5" s="230"/>
      <c r="Z5" s="230"/>
      <c r="AA5" s="230"/>
    </row>
    <row r="6" spans="1:27" ht="14.4">
      <c r="A6" s="230" t="s">
        <v>80</v>
      </c>
      <c r="B6" s="230" t="s">
        <v>81</v>
      </c>
      <c r="C6" s="230" t="str">
        <f t="shared" si="0"/>
        <v>MM5008 Strategic Decision Making and Negotiation</v>
      </c>
      <c r="D6" s="233" t="str">
        <f t="shared" si="1"/>
        <v>MM5008 Strategic Decision Making and Negotiation 
8 Sessions 
(08.30 - 16.55)</v>
      </c>
      <c r="E6" s="233" t="str">
        <f t="shared" si="2"/>
        <v>MM5008 Strategic Decision Making and Negotiation 
5 Sessions 
(08.30 - 14.20)</v>
      </c>
      <c r="F6" s="233" t="str">
        <f t="shared" si="3"/>
        <v>MM5008 Strategic Decision Making and Negotiation 
5 Sessions 
(08.30 - 14.20)
+
 MID EXAM 
(14.20 - 17.20)</v>
      </c>
      <c r="G6" s="233" t="str">
        <f t="shared" si="4"/>
        <v>MM5008 Strategic Decision Making and Negotiation 
5 Sessions 
(08.30 - 14.20)
+
FINAL EXAM 
(14.20 - 17.20)</v>
      </c>
      <c r="H6" s="232"/>
      <c r="I6" s="230"/>
      <c r="J6" s="230"/>
      <c r="K6" s="230"/>
      <c r="L6" s="230"/>
      <c r="M6" s="230"/>
      <c r="N6" s="230"/>
      <c r="O6" s="230"/>
      <c r="P6" s="230"/>
      <c r="Q6" s="230"/>
      <c r="R6" s="230"/>
      <c r="S6" s="230"/>
      <c r="T6" s="230"/>
      <c r="U6" s="230"/>
      <c r="V6" s="230"/>
      <c r="W6" s="230"/>
      <c r="X6" s="230"/>
      <c r="Y6" s="230"/>
      <c r="Z6" s="230"/>
      <c r="AA6" s="230"/>
    </row>
    <row r="7" spans="1:27" ht="14.4">
      <c r="A7" s="230" t="s">
        <v>43</v>
      </c>
      <c r="B7" s="230" t="s">
        <v>44</v>
      </c>
      <c r="C7" s="230" t="str">
        <f t="shared" si="0"/>
        <v>MM5010 Strategic Management and Agile Enterprise</v>
      </c>
      <c r="D7" s="233" t="str">
        <f t="shared" si="1"/>
        <v>MM5010 Strategic Management and Agile Enterprise 
8 Sessions 
(08.30 - 16.55)</v>
      </c>
      <c r="E7" s="233" t="str">
        <f t="shared" si="2"/>
        <v>MM5010 Strategic Management and Agile Enterprise 
5 Sessions 
(08.30 - 14.20)</v>
      </c>
      <c r="F7" s="233" t="str">
        <f t="shared" si="3"/>
        <v>MM5010 Strategic Management and Agile Enterprise 
5 Sessions 
(08.30 - 14.20)
+
 MID EXAM 
(14.20 - 17.20)</v>
      </c>
      <c r="G7" s="233" t="str">
        <f t="shared" si="4"/>
        <v>MM5010 Strategic Management and Agile Enterprise 
5 Sessions 
(08.30 - 14.20)
+
FINAL EXAM 
(14.20 - 17.20)</v>
      </c>
      <c r="H7" s="232"/>
      <c r="I7" s="230"/>
      <c r="J7" s="230"/>
      <c r="K7" s="230"/>
      <c r="L7" s="230"/>
      <c r="M7" s="230"/>
      <c r="N7" s="230"/>
      <c r="O7" s="230"/>
      <c r="P7" s="230"/>
      <c r="Q7" s="230"/>
      <c r="R7" s="230"/>
      <c r="S7" s="230"/>
      <c r="T7" s="230"/>
      <c r="U7" s="230"/>
      <c r="V7" s="230"/>
      <c r="W7" s="230"/>
      <c r="X7" s="230"/>
      <c r="Y7" s="230"/>
      <c r="Z7" s="230"/>
      <c r="AA7" s="230"/>
    </row>
    <row r="8" spans="1:27" ht="14.4">
      <c r="A8" s="230" t="s">
        <v>49</v>
      </c>
      <c r="B8" s="230" t="s">
        <v>50</v>
      </c>
      <c r="C8" s="230" t="str">
        <f t="shared" si="0"/>
        <v>MM5011 Management of Innovation, Technology and Entrepreneurship</v>
      </c>
      <c r="D8" s="233" t="str">
        <f t="shared" si="1"/>
        <v>MM5011 Management of Innovation, Technology and Entrepreneurship 
8 Sessions 
(08.30 - 16.55)</v>
      </c>
      <c r="E8" s="233" t="str">
        <f t="shared" si="2"/>
        <v>MM5011 Management of Innovation, Technology and Entrepreneurship 
5 Sessions 
(08.30 - 14.20)</v>
      </c>
      <c r="F8" s="233" t="str">
        <f t="shared" si="3"/>
        <v>MM5011 Management of Innovation, Technology and Entrepreneurship 
5 Sessions 
(08.30 - 14.20)
+
 MID EXAM 
(14.20 - 17.20)</v>
      </c>
      <c r="G8" s="233" t="str">
        <f t="shared" si="4"/>
        <v>MM5011 Management of Innovation, Technology and Entrepreneurship 
5 Sessions 
(08.30 - 14.20)
+
FINAL EXAM 
(14.20 - 17.20)</v>
      </c>
      <c r="H8" s="232"/>
      <c r="I8" s="230"/>
      <c r="J8" s="230"/>
      <c r="K8" s="230"/>
      <c r="L8" s="230"/>
      <c r="M8" s="230"/>
      <c r="N8" s="230"/>
      <c r="O8" s="230"/>
      <c r="P8" s="230"/>
      <c r="Q8" s="230"/>
      <c r="R8" s="230"/>
      <c r="S8" s="230"/>
      <c r="T8" s="230"/>
      <c r="U8" s="230"/>
      <c r="V8" s="230"/>
      <c r="W8" s="230"/>
      <c r="X8" s="230"/>
      <c r="Y8" s="230"/>
      <c r="Z8" s="230"/>
      <c r="AA8" s="230"/>
    </row>
    <row r="9" spans="1:27" ht="14.4">
      <c r="A9" s="230" t="s">
        <v>602</v>
      </c>
      <c r="B9" s="230" t="s">
        <v>603</v>
      </c>
      <c r="C9" s="230" t="str">
        <f t="shared" si="0"/>
        <v>MM5013 New Venture Management (P)</v>
      </c>
      <c r="D9" s="233" t="str">
        <f t="shared" si="1"/>
        <v>MM5013 New Venture Management (P) 
8 Sessions 
(08.30 - 16.55)</v>
      </c>
      <c r="E9" s="233" t="str">
        <f t="shared" si="2"/>
        <v>MM5013 New Venture Management (P) 
5 Sessions 
(08.30 - 14.20)</v>
      </c>
      <c r="F9" s="233" t="str">
        <f t="shared" si="3"/>
        <v>MM5013 New Venture Management (P) 
5 Sessions 
(08.30 - 14.20)
+
 MID EXAM 
(14.20 - 17.20)</v>
      </c>
      <c r="G9" s="233" t="str">
        <f t="shared" si="4"/>
        <v>MM5013 New Venture Management (P) 
5 Sessions 
(08.30 - 14.20)
+
FINAL EXAM 
(14.20 - 17.20)</v>
      </c>
      <c r="H9" s="232"/>
      <c r="I9" s="230"/>
      <c r="J9" s="230"/>
      <c r="K9" s="230"/>
      <c r="L9" s="230"/>
      <c r="M9" s="230"/>
      <c r="N9" s="230"/>
      <c r="O9" s="230"/>
      <c r="P9" s="230"/>
      <c r="Q9" s="230"/>
      <c r="R9" s="230"/>
      <c r="S9" s="230"/>
      <c r="T9" s="230"/>
      <c r="U9" s="230"/>
      <c r="V9" s="230"/>
      <c r="W9" s="230"/>
      <c r="X9" s="230"/>
      <c r="Y9" s="230"/>
      <c r="Z9" s="230"/>
      <c r="AA9" s="230"/>
    </row>
    <row r="10" spans="1:27" ht="14.4">
      <c r="A10" s="230" t="s">
        <v>604</v>
      </c>
      <c r="B10" s="230" t="s">
        <v>605</v>
      </c>
      <c r="C10" s="230" t="str">
        <f t="shared" si="0"/>
        <v>MM5015 Digital Business Experience (P)</v>
      </c>
      <c r="D10" s="233" t="str">
        <f t="shared" si="1"/>
        <v>MM5015 Digital Business Experience (P) 
8 Sessions 
(08.30 - 16.55)</v>
      </c>
      <c r="E10" s="233" t="str">
        <f t="shared" si="2"/>
        <v>MM5015 Digital Business Experience (P) 
5 Sessions 
(08.30 - 14.20)</v>
      </c>
      <c r="F10" s="233" t="str">
        <f t="shared" si="3"/>
        <v>MM5015 Digital Business Experience (P) 
5 Sessions 
(08.30 - 14.20)
+
 MID EXAM 
(14.20 - 17.20)</v>
      </c>
      <c r="G10" s="233" t="str">
        <f t="shared" si="4"/>
        <v>MM5015 Digital Business Experience (P) 
5 Sessions 
(08.30 - 14.20)
+
FINAL EXAM 
(14.20 - 17.20)</v>
      </c>
      <c r="H10" s="232"/>
      <c r="I10" s="230"/>
      <c r="J10" s="230"/>
      <c r="K10" s="230"/>
      <c r="L10" s="230"/>
      <c r="M10" s="230"/>
      <c r="N10" s="230"/>
      <c r="O10" s="230"/>
      <c r="P10" s="230"/>
      <c r="Q10" s="230"/>
      <c r="R10" s="230"/>
      <c r="S10" s="230"/>
      <c r="T10" s="230"/>
      <c r="U10" s="230"/>
      <c r="V10" s="230"/>
      <c r="W10" s="230"/>
      <c r="X10" s="230"/>
      <c r="Y10" s="230"/>
      <c r="Z10" s="230"/>
      <c r="AA10" s="230"/>
    </row>
    <row r="11" spans="1:27" ht="14.4">
      <c r="A11" s="230" t="s">
        <v>606</v>
      </c>
      <c r="B11" s="230" t="s">
        <v>607</v>
      </c>
      <c r="C11" s="230" t="str">
        <f t="shared" si="0"/>
        <v>MM6094 Research Methodology for Business</v>
      </c>
      <c r="D11" s="233" t="str">
        <f t="shared" si="1"/>
        <v>MM6094 Research Methodology for Business 
8 Sessions 
(08.30 - 16.55)</v>
      </c>
      <c r="E11" s="233" t="str">
        <f t="shared" si="2"/>
        <v>MM6094 Research Methodology for Business 
5 Sessions 
(08.30 - 14.20)</v>
      </c>
      <c r="F11" s="233" t="str">
        <f t="shared" si="3"/>
        <v>MM6094 Research Methodology for Business 
5 Sessions 
(08.30 - 14.20)
+
 MID EXAM 
(14.20 - 17.20)</v>
      </c>
      <c r="G11" s="233" t="str">
        <f t="shared" si="4"/>
        <v>MM6094 Research Methodology for Business 
5 Sessions 
(08.30 - 14.20)
+
FINAL EXAM 
(14.20 - 17.20)</v>
      </c>
      <c r="H11" s="232"/>
      <c r="I11" s="230"/>
      <c r="J11" s="230"/>
      <c r="K11" s="230"/>
      <c r="L11" s="230"/>
      <c r="M11" s="230"/>
      <c r="N11" s="230"/>
      <c r="O11" s="230"/>
      <c r="P11" s="230"/>
      <c r="Q11" s="230"/>
      <c r="R11" s="230"/>
      <c r="S11" s="230"/>
      <c r="T11" s="230"/>
      <c r="U11" s="230"/>
      <c r="V11" s="230"/>
      <c r="W11" s="230"/>
      <c r="X11" s="230"/>
      <c r="Y11" s="230"/>
      <c r="Z11" s="230"/>
      <c r="AA11" s="230"/>
    </row>
    <row r="12" spans="1:27" ht="14.4">
      <c r="A12" s="63"/>
      <c r="B12" s="63"/>
      <c r="C12" s="63" t="str">
        <f t="shared" si="0"/>
        <v xml:space="preserve"> </v>
      </c>
      <c r="D12" s="228"/>
      <c r="E12" s="228"/>
      <c r="F12" s="228"/>
      <c r="G12" s="228"/>
      <c r="H12" s="228"/>
    </row>
    <row r="13" spans="1:27" ht="14.4">
      <c r="A13" s="234" t="s">
        <v>608</v>
      </c>
      <c r="B13" s="235"/>
      <c r="C13" s="235"/>
      <c r="D13" s="236" t="s">
        <v>609</v>
      </c>
      <c r="E13" s="236" t="s">
        <v>610</v>
      </c>
      <c r="F13" s="236" t="s">
        <v>600</v>
      </c>
      <c r="G13" s="236" t="s">
        <v>601</v>
      </c>
      <c r="H13" s="235"/>
      <c r="I13" s="235"/>
      <c r="J13" s="235"/>
      <c r="K13" s="235"/>
      <c r="L13" s="235"/>
      <c r="M13" s="235"/>
      <c r="N13" s="235"/>
      <c r="O13" s="235"/>
      <c r="P13" s="235"/>
      <c r="Q13" s="235"/>
      <c r="R13" s="235"/>
      <c r="S13" s="235"/>
      <c r="T13" s="235"/>
      <c r="U13" s="235"/>
      <c r="V13" s="235"/>
      <c r="W13" s="235"/>
      <c r="X13" s="235"/>
      <c r="Y13" s="235"/>
      <c r="Z13" s="235"/>
    </row>
    <row r="14" spans="1:27" ht="14.4">
      <c r="A14" s="235" t="s">
        <v>16</v>
      </c>
      <c r="B14" s="235" t="s">
        <v>17</v>
      </c>
      <c r="C14" s="235" t="str">
        <f t="shared" ref="C14:C19" si="5">A14 &amp; " " &amp; B14</f>
        <v>MM5005 Economic and Business Landscape Analysis</v>
      </c>
      <c r="D14" s="237" t="str">
        <f t="shared" ref="D14:D18" si="6">$C14 &amp; " 
11 Sessions " &amp; "
(08.00 - 18.40)"</f>
        <v>MM5005 Economic and Business Landscape Analysis 
11 Sessions 
(08.00 - 18.40)</v>
      </c>
      <c r="E14" s="237" t="str">
        <f>$C14 &amp; " 
10 Sessions " &amp; "
(08.00 - 17.50)"</f>
        <v>MM5005 Economic and Business Landscape Analysis 
10 Sessions 
(08.00 - 17.50)</v>
      </c>
      <c r="F14" s="237" t="str">
        <f t="shared" ref="F14:F18" si="7">$C14 &amp; " 
MID EXAM " &amp; "
(09.00 - 12.00)"</f>
        <v>MM5005 Economic and Business Landscape Analysis 
MID EXAM 
(09.00 - 12.00)</v>
      </c>
      <c r="G14" s="237" t="str">
        <f t="shared" ref="G14:G18" si="8">$C14 &amp; " 
FINAL EXAM " &amp; "
(09.00 - 12.00)"</f>
        <v>MM5005 Economic and Business Landscape Analysis 
FINAL EXAM 
(09.00 - 12.00)</v>
      </c>
      <c r="H14" s="235"/>
      <c r="I14" s="235"/>
      <c r="J14" s="235"/>
      <c r="K14" s="235"/>
      <c r="L14" s="235"/>
      <c r="M14" s="235"/>
      <c r="N14" s="235"/>
      <c r="O14" s="235"/>
      <c r="P14" s="235"/>
      <c r="Q14" s="235"/>
      <c r="R14" s="235"/>
      <c r="S14" s="235"/>
      <c r="T14" s="235"/>
      <c r="U14" s="235"/>
      <c r="V14" s="235"/>
      <c r="W14" s="235"/>
      <c r="X14" s="235"/>
      <c r="Y14" s="235"/>
      <c r="Z14" s="235"/>
    </row>
    <row r="15" spans="1:27" ht="14.4">
      <c r="A15" s="235" t="s">
        <v>35</v>
      </c>
      <c r="B15" s="235" t="s">
        <v>36</v>
      </c>
      <c r="C15" s="235" t="str">
        <f t="shared" si="5"/>
        <v>MM5007 Financial Management and Policy</v>
      </c>
      <c r="D15" s="237" t="str">
        <f t="shared" si="6"/>
        <v>MM5007 Financial Management and Policy 
11 Sessions 
(08.00 - 18.40)</v>
      </c>
      <c r="E15" s="237" t="str">
        <f t="shared" ref="E15:E18" si="9">C15 &amp; " 
10 Sessions " &amp; "
(08.00 - 17.50)"</f>
        <v>MM5007 Financial Management and Policy 
10 Sessions 
(08.00 - 17.50)</v>
      </c>
      <c r="F15" s="237" t="str">
        <f t="shared" si="7"/>
        <v>MM5007 Financial Management and Policy 
MID EXAM 
(09.00 - 12.00)</v>
      </c>
      <c r="G15" s="237" t="str">
        <f t="shared" si="8"/>
        <v>MM5007 Financial Management and Policy 
FINAL EXAM 
(09.00 - 12.00)</v>
      </c>
      <c r="H15" s="235"/>
      <c r="I15" s="235"/>
      <c r="J15" s="235"/>
      <c r="K15" s="235"/>
      <c r="L15" s="235"/>
      <c r="M15" s="235"/>
      <c r="N15" s="235"/>
      <c r="O15" s="235"/>
      <c r="P15" s="235"/>
      <c r="Q15" s="235"/>
      <c r="R15" s="235"/>
      <c r="S15" s="235"/>
      <c r="T15" s="235"/>
      <c r="U15" s="235"/>
      <c r="V15" s="235"/>
      <c r="W15" s="235"/>
      <c r="X15" s="235"/>
      <c r="Y15" s="235"/>
      <c r="Z15" s="235"/>
    </row>
    <row r="16" spans="1:27" ht="14.4">
      <c r="A16" s="235" t="s">
        <v>43</v>
      </c>
      <c r="B16" s="235" t="s">
        <v>44</v>
      </c>
      <c r="C16" s="235" t="str">
        <f t="shared" si="5"/>
        <v>MM5010 Strategic Management and Agile Enterprise</v>
      </c>
      <c r="D16" s="237" t="str">
        <f t="shared" si="6"/>
        <v>MM5010 Strategic Management and Agile Enterprise 
11 Sessions 
(08.00 - 18.40)</v>
      </c>
      <c r="E16" s="237" t="str">
        <f t="shared" si="9"/>
        <v>MM5010 Strategic Management and Agile Enterprise 
10 Sessions 
(08.00 - 17.50)</v>
      </c>
      <c r="F16" s="237" t="str">
        <f t="shared" si="7"/>
        <v>MM5010 Strategic Management and Agile Enterprise 
MID EXAM 
(09.00 - 12.00)</v>
      </c>
      <c r="G16" s="237" t="str">
        <f t="shared" si="8"/>
        <v>MM5010 Strategic Management and Agile Enterprise 
FINAL EXAM 
(09.00 - 12.00)</v>
      </c>
      <c r="H16" s="235"/>
      <c r="I16" s="235"/>
      <c r="J16" s="235"/>
      <c r="K16" s="235"/>
      <c r="L16" s="235"/>
      <c r="M16" s="235"/>
      <c r="N16" s="235"/>
      <c r="O16" s="235"/>
      <c r="P16" s="235"/>
      <c r="Q16" s="235"/>
      <c r="R16" s="235"/>
      <c r="S16" s="235"/>
      <c r="T16" s="235"/>
      <c r="U16" s="235"/>
      <c r="V16" s="235"/>
      <c r="W16" s="235"/>
      <c r="X16" s="235"/>
      <c r="Y16" s="235"/>
      <c r="Z16" s="235"/>
    </row>
    <row r="17" spans="1:27" ht="14.4">
      <c r="A17" s="235" t="s">
        <v>49</v>
      </c>
      <c r="B17" s="235" t="s">
        <v>50</v>
      </c>
      <c r="C17" s="235" t="str">
        <f t="shared" si="5"/>
        <v>MM5011 Management of Innovation, Technology and Entrepreneurship</v>
      </c>
      <c r="D17" s="237" t="str">
        <f t="shared" si="6"/>
        <v>MM5011 Management of Innovation, Technology and Entrepreneurship 
11 Sessions 
(08.00 - 18.40)</v>
      </c>
      <c r="E17" s="237" t="str">
        <f t="shared" si="9"/>
        <v>MM5011 Management of Innovation, Technology and Entrepreneurship 
10 Sessions 
(08.00 - 17.50)</v>
      </c>
      <c r="F17" s="237" t="str">
        <f t="shared" si="7"/>
        <v>MM5011 Management of Innovation, Technology and Entrepreneurship 
MID EXAM 
(09.00 - 12.00)</v>
      </c>
      <c r="G17" s="237" t="str">
        <f t="shared" si="8"/>
        <v>MM5011 Management of Innovation, Technology and Entrepreneurship 
FINAL EXAM 
(09.00 - 12.00)</v>
      </c>
      <c r="H17" s="235"/>
      <c r="I17" s="235"/>
      <c r="J17" s="235"/>
      <c r="K17" s="235"/>
      <c r="L17" s="235"/>
      <c r="M17" s="235"/>
      <c r="N17" s="235"/>
      <c r="O17" s="235"/>
      <c r="P17" s="235"/>
      <c r="Q17" s="235"/>
      <c r="R17" s="235"/>
      <c r="S17" s="235"/>
      <c r="T17" s="235"/>
      <c r="U17" s="235"/>
      <c r="V17" s="235"/>
      <c r="W17" s="235"/>
      <c r="X17" s="235"/>
      <c r="Y17" s="235"/>
      <c r="Z17" s="235"/>
    </row>
    <row r="18" spans="1:27" ht="14.4">
      <c r="A18" s="235" t="s">
        <v>606</v>
      </c>
      <c r="B18" s="235" t="s">
        <v>607</v>
      </c>
      <c r="C18" s="235" t="str">
        <f t="shared" si="5"/>
        <v>MM6094 Research Methodology for Business</v>
      </c>
      <c r="D18" s="237" t="str">
        <f t="shared" si="6"/>
        <v>MM6094 Research Methodology for Business 
11 Sessions 
(08.00 - 18.40)</v>
      </c>
      <c r="E18" s="237" t="str">
        <f t="shared" si="9"/>
        <v>MM6094 Research Methodology for Business 
10 Sessions 
(08.00 - 17.50)</v>
      </c>
      <c r="F18" s="237" t="str">
        <f t="shared" si="7"/>
        <v>MM6094 Research Methodology for Business 
MID EXAM 
(09.00 - 12.00)</v>
      </c>
      <c r="G18" s="237" t="str">
        <f t="shared" si="8"/>
        <v>MM6094 Research Methodology for Business 
FINAL EXAM 
(09.00 - 12.00)</v>
      </c>
      <c r="H18" s="235"/>
      <c r="I18" s="235"/>
      <c r="J18" s="235"/>
      <c r="K18" s="235"/>
      <c r="L18" s="235"/>
      <c r="M18" s="235"/>
      <c r="N18" s="235"/>
      <c r="O18" s="235"/>
      <c r="P18" s="235"/>
      <c r="Q18" s="235"/>
      <c r="R18" s="235"/>
      <c r="S18" s="235"/>
      <c r="T18" s="235"/>
      <c r="U18" s="235"/>
      <c r="V18" s="235"/>
      <c r="W18" s="235"/>
      <c r="X18" s="235"/>
      <c r="Y18" s="235"/>
      <c r="Z18" s="235"/>
    </row>
    <row r="19" spans="1:27" ht="14.4">
      <c r="C19" s="63" t="str">
        <f t="shared" si="5"/>
        <v xml:space="preserve"> </v>
      </c>
      <c r="D19" s="228"/>
      <c r="E19" s="228"/>
      <c r="F19" s="228"/>
      <c r="G19" s="228"/>
      <c r="H19" s="228"/>
    </row>
    <row r="20" spans="1:27" ht="14.4">
      <c r="A20" s="238" t="s">
        <v>589</v>
      </c>
      <c r="B20" s="239"/>
      <c r="C20" s="239"/>
      <c r="D20" s="240" t="s">
        <v>599</v>
      </c>
      <c r="E20" s="240" t="s">
        <v>13</v>
      </c>
      <c r="F20" s="240" t="s">
        <v>14</v>
      </c>
      <c r="G20" s="240"/>
      <c r="H20" s="241"/>
      <c r="I20" s="239"/>
      <c r="J20" s="239"/>
      <c r="K20" s="239"/>
      <c r="L20" s="239"/>
      <c r="M20" s="239"/>
      <c r="N20" s="239"/>
      <c r="O20" s="239"/>
      <c r="P20" s="239"/>
      <c r="Q20" s="239"/>
      <c r="R20" s="239"/>
      <c r="S20" s="239"/>
      <c r="T20" s="239"/>
      <c r="U20" s="239"/>
      <c r="V20" s="239"/>
      <c r="W20" s="239"/>
      <c r="X20" s="239"/>
      <c r="Y20" s="239"/>
      <c r="Z20" s="239"/>
      <c r="AA20" s="239"/>
    </row>
    <row r="21" spans="1:27" ht="15.75" customHeight="1">
      <c r="A21" s="239" t="s">
        <v>43</v>
      </c>
      <c r="B21" s="239" t="s">
        <v>44</v>
      </c>
      <c r="C21" s="239" t="str">
        <f t="shared" ref="C21:C22" si="10">A21 &amp; " " &amp; B21</f>
        <v>MM5010 Strategic Management and Agile Enterprise</v>
      </c>
      <c r="D21" s="242" t="str">
        <f t="shared" ref="D21:D22" si="11">$C21 &amp; " 
5 Sessions " &amp; "
(17.30 - 22.20)"</f>
        <v>MM5010 Strategic Management and Agile Enterprise 
5 Sessions 
(17.30 - 22.20)</v>
      </c>
      <c r="E21" s="242" t="str">
        <f t="shared" ref="E21:E22" si="12">$C21 &amp; " 
MID EXAM " &amp; "
(TAKE HOME)"</f>
        <v>MM5010 Strategic Management and Agile Enterprise 
MID EXAM 
(TAKE HOME)</v>
      </c>
      <c r="F21" s="242" t="str">
        <f t="shared" ref="F21:F22" si="13">$C21 &amp; " 
FINAL EXAM " &amp; "
(20.00 - 22.00)"</f>
        <v>MM5010 Strategic Management and Agile Enterprise 
FINAL EXAM 
(20.00 - 22.00)</v>
      </c>
      <c r="G21" s="242" t="str">
        <f t="shared" ref="G21:G22" si="14">C21 &amp;
"2 Sessions
ASYNCHRONOUS
(17.30 - 19.50)
+
FINAL EXAM
(TAKE HOME)"</f>
        <v>MM5010 Strategic Management and Agile Enterprise2 Sessions
ASYNCHRONOUS
(17.30 - 19.50)
+
FINAL EXAM
(TAKE HOME)</v>
      </c>
      <c r="H21" s="241"/>
      <c r="I21" s="239"/>
      <c r="J21" s="239"/>
      <c r="K21" s="239"/>
      <c r="L21" s="239"/>
      <c r="M21" s="239"/>
      <c r="N21" s="239"/>
      <c r="O21" s="239"/>
      <c r="P21" s="239"/>
      <c r="Q21" s="239"/>
      <c r="R21" s="239"/>
      <c r="S21" s="239"/>
      <c r="T21" s="239"/>
      <c r="U21" s="239"/>
      <c r="V21" s="239"/>
      <c r="W21" s="239"/>
      <c r="X21" s="239"/>
      <c r="Y21" s="239"/>
      <c r="Z21" s="239"/>
      <c r="AA21" s="239"/>
    </row>
    <row r="22" spans="1:27" ht="15.75" customHeight="1">
      <c r="A22" s="239" t="s">
        <v>49</v>
      </c>
      <c r="B22" s="239" t="s">
        <v>50</v>
      </c>
      <c r="C22" s="239" t="str">
        <f t="shared" si="10"/>
        <v>MM5011 Management of Innovation, Technology and Entrepreneurship</v>
      </c>
      <c r="D22" s="242" t="str">
        <f t="shared" si="11"/>
        <v>MM5011 Management of Innovation, Technology and Entrepreneurship 
5 Sessions 
(17.30 - 22.20)</v>
      </c>
      <c r="E22" s="242" t="str">
        <f t="shared" si="12"/>
        <v>MM5011 Management of Innovation, Technology and Entrepreneurship 
MID EXAM 
(TAKE HOME)</v>
      </c>
      <c r="F22" s="242" t="str">
        <f t="shared" si="13"/>
        <v>MM5011 Management of Innovation, Technology and Entrepreneurship 
FINAL EXAM 
(20.00 - 22.00)</v>
      </c>
      <c r="G22" s="242" t="str">
        <f t="shared" si="14"/>
        <v>MM5011 Management of Innovation, Technology and Entrepreneurship2 Sessions
ASYNCHRONOUS
(17.30 - 19.50)
+
FINAL EXAM
(TAKE HOME)</v>
      </c>
      <c r="H22" s="241"/>
      <c r="I22" s="239"/>
      <c r="J22" s="239"/>
      <c r="K22" s="239"/>
      <c r="L22" s="239"/>
      <c r="M22" s="239"/>
      <c r="N22" s="239"/>
      <c r="O22" s="239"/>
      <c r="P22" s="239"/>
      <c r="Q22" s="239"/>
      <c r="R22" s="239"/>
      <c r="S22" s="239"/>
      <c r="T22" s="239"/>
      <c r="U22" s="239"/>
      <c r="V22" s="239"/>
      <c r="W22" s="239"/>
      <c r="X22" s="239"/>
      <c r="Y22" s="239"/>
      <c r="Z22" s="239"/>
      <c r="AA22" s="239"/>
    </row>
    <row r="23" spans="1:27" ht="15.75" customHeight="1">
      <c r="D23" s="228"/>
      <c r="E23" s="228"/>
      <c r="F23" s="228"/>
      <c r="G23" s="228"/>
    </row>
    <row r="24" spans="1:27" ht="15.75" customHeight="1">
      <c r="D24" s="228"/>
      <c r="E24" s="228"/>
      <c r="F24" s="228"/>
      <c r="G24" s="228"/>
    </row>
    <row r="25" spans="1:27" ht="15.75" customHeight="1">
      <c r="A25" s="63"/>
      <c r="D25" s="228"/>
      <c r="E25" s="228"/>
      <c r="F25" s="228"/>
      <c r="G25" s="228"/>
    </row>
    <row r="26" spans="1:27" ht="15.75" customHeight="1">
      <c r="A26" s="63"/>
      <c r="D26" s="228"/>
      <c r="E26" s="228"/>
      <c r="F26" s="228"/>
      <c r="G26" s="228"/>
    </row>
    <row r="27" spans="1:27" ht="15.75" customHeight="1">
      <c r="A27" s="63"/>
      <c r="D27" s="228"/>
      <c r="E27" s="228"/>
      <c r="F27" s="228"/>
      <c r="G27" s="228"/>
    </row>
    <row r="28" spans="1:27" ht="15.75" customHeight="1">
      <c r="D28" s="228"/>
      <c r="E28" s="228"/>
      <c r="F28" s="228"/>
      <c r="G28" s="228"/>
    </row>
    <row r="29" spans="1:27" ht="15.75" customHeight="1">
      <c r="D29" s="228"/>
      <c r="E29" s="228"/>
      <c r="F29" s="228"/>
      <c r="G29" s="228"/>
    </row>
    <row r="30" spans="1:27" ht="15.75" customHeight="1">
      <c r="D30" s="228"/>
      <c r="E30" s="228"/>
      <c r="F30" s="228"/>
      <c r="G30" s="228"/>
    </row>
    <row r="31" spans="1:27" ht="15.75" customHeight="1">
      <c r="D31" s="228"/>
      <c r="E31" s="228"/>
      <c r="F31" s="228"/>
      <c r="G31" s="228"/>
    </row>
    <row r="32" spans="1:27" ht="15.75" customHeight="1">
      <c r="D32" s="228"/>
      <c r="E32" s="228"/>
      <c r="F32" s="228"/>
      <c r="G32" s="228"/>
    </row>
    <row r="33" spans="4:7" ht="15.75" customHeight="1">
      <c r="D33" s="228"/>
      <c r="E33" s="228"/>
      <c r="F33" s="228"/>
      <c r="G33" s="228"/>
    </row>
    <row r="34" spans="4:7" ht="15.75" customHeight="1">
      <c r="D34" s="228"/>
      <c r="E34" s="228"/>
      <c r="F34" s="228"/>
      <c r="G34" s="228"/>
    </row>
    <row r="35" spans="4:7" ht="15.75" customHeight="1">
      <c r="D35" s="228"/>
      <c r="E35" s="228"/>
      <c r="F35" s="228"/>
      <c r="G35" s="228"/>
    </row>
    <row r="36" spans="4:7" ht="15.75" customHeight="1">
      <c r="D36" s="228"/>
      <c r="E36" s="228"/>
      <c r="F36" s="228"/>
      <c r="G36" s="228"/>
    </row>
    <row r="37" spans="4:7" ht="15.75" customHeight="1">
      <c r="D37" s="228"/>
      <c r="E37" s="228"/>
      <c r="F37" s="228"/>
      <c r="G37" s="228"/>
    </row>
    <row r="38" spans="4:7" ht="15.75" customHeight="1">
      <c r="D38" s="228"/>
      <c r="E38" s="228"/>
      <c r="F38" s="228"/>
      <c r="G38" s="228"/>
    </row>
    <row r="39" spans="4:7" ht="15.75" customHeight="1">
      <c r="D39" s="228"/>
      <c r="E39" s="228"/>
      <c r="F39" s="228"/>
      <c r="G39" s="228"/>
    </row>
    <row r="40" spans="4:7" ht="15.75" customHeight="1">
      <c r="D40" s="228"/>
      <c r="E40" s="228"/>
      <c r="F40" s="228"/>
      <c r="G40" s="228"/>
    </row>
    <row r="41" spans="4:7" ht="15.75" customHeight="1">
      <c r="D41" s="228"/>
      <c r="E41" s="228"/>
      <c r="F41" s="228"/>
      <c r="G41" s="228"/>
    </row>
    <row r="42" spans="4:7" ht="15.75" customHeight="1">
      <c r="D42" s="228"/>
      <c r="E42" s="228"/>
      <c r="F42" s="228"/>
      <c r="G42" s="228"/>
    </row>
    <row r="43" spans="4:7" ht="15.75" customHeight="1">
      <c r="D43" s="228"/>
      <c r="E43" s="228"/>
      <c r="F43" s="228"/>
      <c r="G43" s="228"/>
    </row>
    <row r="44" spans="4:7" ht="15.75" customHeight="1">
      <c r="D44" s="228"/>
      <c r="E44" s="228"/>
      <c r="F44" s="228"/>
      <c r="G44" s="228"/>
    </row>
    <row r="45" spans="4:7" ht="15.75" customHeight="1">
      <c r="D45" s="228"/>
      <c r="E45" s="228"/>
      <c r="F45" s="228"/>
      <c r="G45" s="228"/>
    </row>
    <row r="46" spans="4:7" ht="15.75" customHeight="1">
      <c r="D46" s="228"/>
      <c r="E46" s="228"/>
      <c r="F46" s="228"/>
      <c r="G46" s="228"/>
    </row>
    <row r="47" spans="4:7" ht="15.75" customHeight="1">
      <c r="D47" s="228"/>
      <c r="E47" s="228"/>
      <c r="F47" s="228"/>
      <c r="G47" s="228"/>
    </row>
    <row r="48" spans="4:7" ht="15.75" customHeight="1">
      <c r="D48" s="228"/>
      <c r="E48" s="228"/>
      <c r="F48" s="228"/>
      <c r="G48" s="228"/>
    </row>
    <row r="49" spans="4:7" ht="15.75" customHeight="1">
      <c r="D49" s="228"/>
      <c r="E49" s="228"/>
      <c r="F49" s="228"/>
      <c r="G49" s="228"/>
    </row>
    <row r="50" spans="4:7" ht="15.75" customHeight="1">
      <c r="D50" s="228"/>
      <c r="E50" s="228"/>
      <c r="F50" s="228"/>
      <c r="G50" s="228"/>
    </row>
    <row r="51" spans="4:7" ht="15.75" customHeight="1">
      <c r="D51" s="228"/>
      <c r="E51" s="228"/>
      <c r="F51" s="228"/>
      <c r="G51" s="228"/>
    </row>
    <row r="52" spans="4:7" ht="15.75" customHeight="1">
      <c r="D52" s="228"/>
      <c r="E52" s="228"/>
      <c r="F52" s="228"/>
      <c r="G52" s="228"/>
    </row>
    <row r="53" spans="4:7" ht="15.75" customHeight="1">
      <c r="D53" s="228"/>
      <c r="E53" s="228"/>
      <c r="F53" s="228"/>
      <c r="G53" s="228"/>
    </row>
    <row r="54" spans="4:7" ht="15.75" customHeight="1">
      <c r="D54" s="228"/>
      <c r="E54" s="228"/>
      <c r="F54" s="228"/>
      <c r="G54" s="228"/>
    </row>
    <row r="55" spans="4:7" ht="15.75" customHeight="1">
      <c r="D55" s="228"/>
      <c r="E55" s="228"/>
      <c r="F55" s="228"/>
      <c r="G55" s="228"/>
    </row>
    <row r="56" spans="4:7" ht="15.75" customHeight="1">
      <c r="D56" s="228"/>
      <c r="E56" s="228"/>
      <c r="F56" s="228"/>
      <c r="G56" s="228"/>
    </row>
    <row r="57" spans="4:7" ht="15.75" customHeight="1">
      <c r="D57" s="228"/>
      <c r="E57" s="228"/>
      <c r="F57" s="228"/>
      <c r="G57" s="228"/>
    </row>
    <row r="58" spans="4:7" ht="15.75" customHeight="1">
      <c r="D58" s="228"/>
      <c r="E58" s="228"/>
      <c r="F58" s="228"/>
      <c r="G58" s="228"/>
    </row>
    <row r="59" spans="4:7" ht="15.75" customHeight="1">
      <c r="D59" s="228"/>
      <c r="E59" s="228"/>
      <c r="F59" s="228"/>
      <c r="G59" s="228"/>
    </row>
    <row r="60" spans="4:7" ht="15.75" customHeight="1">
      <c r="D60" s="228"/>
      <c r="E60" s="228"/>
      <c r="F60" s="228"/>
      <c r="G60" s="228"/>
    </row>
    <row r="61" spans="4:7" ht="15.75" customHeight="1">
      <c r="D61" s="228"/>
      <c r="E61" s="228"/>
      <c r="F61" s="228"/>
      <c r="G61" s="228"/>
    </row>
    <row r="62" spans="4:7" ht="15.75" customHeight="1">
      <c r="D62" s="228"/>
      <c r="E62" s="228"/>
      <c r="F62" s="228"/>
      <c r="G62" s="228"/>
    </row>
    <row r="63" spans="4:7" ht="15.75" customHeight="1">
      <c r="D63" s="228"/>
      <c r="E63" s="228"/>
      <c r="F63" s="228"/>
      <c r="G63" s="228"/>
    </row>
    <row r="64" spans="4:7" ht="15.75" customHeight="1">
      <c r="D64" s="228"/>
      <c r="E64" s="228"/>
      <c r="F64" s="228"/>
      <c r="G64" s="228"/>
    </row>
    <row r="65" spans="4:7" ht="15.75" customHeight="1">
      <c r="D65" s="228"/>
      <c r="E65" s="228"/>
      <c r="F65" s="228"/>
      <c r="G65" s="228"/>
    </row>
    <row r="66" spans="4:7" ht="15.75" customHeight="1">
      <c r="D66" s="228"/>
      <c r="E66" s="228"/>
      <c r="F66" s="228"/>
      <c r="G66" s="228"/>
    </row>
    <row r="67" spans="4:7" ht="15.75" customHeight="1">
      <c r="D67" s="228"/>
      <c r="E67" s="228"/>
      <c r="F67" s="228"/>
      <c r="G67" s="228"/>
    </row>
    <row r="68" spans="4:7" ht="15.75" customHeight="1">
      <c r="D68" s="228"/>
      <c r="E68" s="228"/>
      <c r="F68" s="228"/>
      <c r="G68" s="228"/>
    </row>
    <row r="69" spans="4:7" ht="15.75" customHeight="1">
      <c r="D69" s="228"/>
      <c r="E69" s="228"/>
      <c r="F69" s="228"/>
      <c r="G69" s="228"/>
    </row>
    <row r="70" spans="4:7" ht="15.75" customHeight="1">
      <c r="D70" s="228"/>
      <c r="E70" s="228"/>
      <c r="F70" s="228"/>
      <c r="G70" s="228"/>
    </row>
    <row r="71" spans="4:7" ht="15.75" customHeight="1">
      <c r="D71" s="228"/>
      <c r="E71" s="228"/>
      <c r="F71" s="228"/>
      <c r="G71" s="228"/>
    </row>
    <row r="72" spans="4:7" ht="15.75" customHeight="1">
      <c r="D72" s="228"/>
      <c r="E72" s="228"/>
      <c r="F72" s="228"/>
      <c r="G72" s="228"/>
    </row>
    <row r="73" spans="4:7" ht="15.75" customHeight="1">
      <c r="D73" s="228"/>
      <c r="E73" s="228"/>
      <c r="F73" s="228"/>
      <c r="G73" s="228"/>
    </row>
    <row r="74" spans="4:7" ht="15.75" customHeight="1">
      <c r="D74" s="228"/>
      <c r="E74" s="228"/>
      <c r="F74" s="228"/>
      <c r="G74" s="228"/>
    </row>
    <row r="75" spans="4:7" ht="15.75" customHeight="1">
      <c r="D75" s="228"/>
      <c r="E75" s="228"/>
      <c r="F75" s="228"/>
      <c r="G75" s="228"/>
    </row>
    <row r="76" spans="4:7" ht="15.75" customHeight="1">
      <c r="D76" s="228"/>
      <c r="E76" s="228"/>
      <c r="F76" s="228"/>
      <c r="G76" s="228"/>
    </row>
    <row r="77" spans="4:7" ht="15.75" customHeight="1">
      <c r="D77" s="228"/>
      <c r="E77" s="228"/>
      <c r="F77" s="228"/>
      <c r="G77" s="228"/>
    </row>
    <row r="78" spans="4:7" ht="15.75" customHeight="1">
      <c r="D78" s="228"/>
      <c r="E78" s="228"/>
      <c r="F78" s="228"/>
      <c r="G78" s="228"/>
    </row>
    <row r="79" spans="4:7" ht="15.75" customHeight="1">
      <c r="D79" s="228"/>
      <c r="E79" s="228"/>
      <c r="F79" s="228"/>
      <c r="G79" s="228"/>
    </row>
    <row r="80" spans="4:7" ht="15.75" customHeight="1">
      <c r="D80" s="228"/>
      <c r="E80" s="228"/>
      <c r="F80" s="228"/>
      <c r="G80" s="228"/>
    </row>
    <row r="81" spans="4:7" ht="15.75" customHeight="1">
      <c r="D81" s="228"/>
      <c r="E81" s="228"/>
      <c r="F81" s="228"/>
      <c r="G81" s="228"/>
    </row>
    <row r="82" spans="4:7" ht="15.75" customHeight="1">
      <c r="D82" s="228"/>
      <c r="E82" s="228"/>
      <c r="F82" s="228"/>
      <c r="G82" s="228"/>
    </row>
    <row r="83" spans="4:7" ht="15.75" customHeight="1">
      <c r="D83" s="228"/>
      <c r="E83" s="228"/>
      <c r="F83" s="228"/>
      <c r="G83" s="228"/>
    </row>
    <row r="84" spans="4:7" ht="15.75" customHeight="1">
      <c r="D84" s="228"/>
      <c r="E84" s="228"/>
      <c r="F84" s="228"/>
      <c r="G84" s="228"/>
    </row>
    <row r="85" spans="4:7" ht="15.75" customHeight="1">
      <c r="D85" s="228"/>
      <c r="E85" s="228"/>
      <c r="F85" s="228"/>
      <c r="G85" s="228"/>
    </row>
    <row r="86" spans="4:7" ht="15.75" customHeight="1">
      <c r="D86" s="228"/>
      <c r="E86" s="228"/>
      <c r="F86" s="228"/>
      <c r="G86" s="228"/>
    </row>
    <row r="87" spans="4:7" ht="15.75" customHeight="1">
      <c r="D87" s="228"/>
      <c r="E87" s="228"/>
      <c r="F87" s="228"/>
      <c r="G87" s="228"/>
    </row>
    <row r="88" spans="4:7" ht="15.75" customHeight="1">
      <c r="D88" s="228"/>
      <c r="E88" s="228"/>
      <c r="F88" s="228"/>
      <c r="G88" s="228"/>
    </row>
    <row r="89" spans="4:7" ht="15.75" customHeight="1">
      <c r="D89" s="228"/>
      <c r="E89" s="228"/>
      <c r="F89" s="228"/>
      <c r="G89" s="228"/>
    </row>
    <row r="90" spans="4:7" ht="15.75" customHeight="1">
      <c r="D90" s="228"/>
      <c r="E90" s="228"/>
      <c r="F90" s="228"/>
      <c r="G90" s="228"/>
    </row>
    <row r="91" spans="4:7" ht="15.75" customHeight="1">
      <c r="D91" s="228"/>
      <c r="E91" s="228"/>
      <c r="F91" s="228"/>
      <c r="G91" s="228"/>
    </row>
    <row r="92" spans="4:7" ht="15.75" customHeight="1">
      <c r="D92" s="228"/>
      <c r="E92" s="228"/>
      <c r="F92" s="228"/>
      <c r="G92" s="228"/>
    </row>
    <row r="93" spans="4:7" ht="15.75" customHeight="1">
      <c r="D93" s="228"/>
      <c r="E93" s="228"/>
      <c r="F93" s="228"/>
      <c r="G93" s="228"/>
    </row>
    <row r="94" spans="4:7" ht="15.75" customHeight="1">
      <c r="D94" s="228"/>
      <c r="E94" s="228"/>
      <c r="F94" s="228"/>
      <c r="G94" s="228"/>
    </row>
    <row r="95" spans="4:7" ht="15.75" customHeight="1">
      <c r="D95" s="228"/>
      <c r="E95" s="228"/>
      <c r="F95" s="228"/>
      <c r="G95" s="228"/>
    </row>
    <row r="96" spans="4:7" ht="15.75" customHeight="1">
      <c r="D96" s="228"/>
      <c r="E96" s="228"/>
      <c r="F96" s="228"/>
      <c r="G96" s="228"/>
    </row>
    <row r="97" spans="4:7" ht="15.75" customHeight="1">
      <c r="D97" s="228"/>
      <c r="E97" s="228"/>
      <c r="F97" s="228"/>
      <c r="G97" s="228"/>
    </row>
    <row r="98" spans="4:7" ht="15.75" customHeight="1">
      <c r="D98" s="228"/>
      <c r="E98" s="228"/>
      <c r="F98" s="228"/>
      <c r="G98" s="228"/>
    </row>
    <row r="99" spans="4:7" ht="15.75" customHeight="1">
      <c r="D99" s="228"/>
      <c r="E99" s="228"/>
      <c r="F99" s="228"/>
      <c r="G99" s="228"/>
    </row>
    <row r="100" spans="4:7" ht="15.75" customHeight="1">
      <c r="D100" s="228"/>
      <c r="E100" s="228"/>
      <c r="F100" s="228"/>
      <c r="G100" s="228"/>
    </row>
    <row r="101" spans="4:7" ht="15.75" customHeight="1">
      <c r="D101" s="228"/>
      <c r="E101" s="228"/>
      <c r="F101" s="228"/>
      <c r="G101" s="228"/>
    </row>
    <row r="102" spans="4:7" ht="15.75" customHeight="1">
      <c r="D102" s="228"/>
      <c r="E102" s="228"/>
      <c r="F102" s="228"/>
      <c r="G102" s="228"/>
    </row>
    <row r="103" spans="4:7" ht="15.75" customHeight="1">
      <c r="D103" s="228"/>
      <c r="E103" s="228"/>
      <c r="F103" s="228"/>
      <c r="G103" s="228"/>
    </row>
    <row r="104" spans="4:7" ht="15.75" customHeight="1">
      <c r="D104" s="228"/>
      <c r="E104" s="228"/>
      <c r="F104" s="228"/>
      <c r="G104" s="228"/>
    </row>
    <row r="105" spans="4:7" ht="15.75" customHeight="1">
      <c r="D105" s="228"/>
      <c r="E105" s="228"/>
      <c r="F105" s="228"/>
      <c r="G105" s="228"/>
    </row>
    <row r="106" spans="4:7" ht="15.75" customHeight="1">
      <c r="D106" s="228"/>
      <c r="E106" s="228"/>
      <c r="F106" s="228"/>
      <c r="G106" s="228"/>
    </row>
    <row r="107" spans="4:7" ht="15.75" customHeight="1">
      <c r="D107" s="228"/>
      <c r="E107" s="228"/>
      <c r="F107" s="228"/>
      <c r="G107" s="228"/>
    </row>
    <row r="108" spans="4:7" ht="15.75" customHeight="1">
      <c r="D108" s="228"/>
      <c r="E108" s="228"/>
      <c r="F108" s="228"/>
      <c r="G108" s="228"/>
    </row>
    <row r="109" spans="4:7" ht="15.75" customHeight="1">
      <c r="D109" s="228"/>
      <c r="E109" s="228"/>
      <c r="F109" s="228"/>
      <c r="G109" s="228"/>
    </row>
    <row r="110" spans="4:7" ht="15.75" customHeight="1">
      <c r="D110" s="228"/>
      <c r="E110" s="228"/>
      <c r="F110" s="228"/>
      <c r="G110" s="228"/>
    </row>
    <row r="111" spans="4:7" ht="15.75" customHeight="1">
      <c r="D111" s="228"/>
      <c r="E111" s="228"/>
      <c r="F111" s="228"/>
      <c r="G111" s="228"/>
    </row>
    <row r="112" spans="4:7" ht="15.75" customHeight="1">
      <c r="D112" s="228"/>
      <c r="E112" s="228"/>
      <c r="F112" s="228"/>
      <c r="G112" s="228"/>
    </row>
    <row r="113" spans="4:7" ht="15.75" customHeight="1">
      <c r="D113" s="228"/>
      <c r="E113" s="228"/>
      <c r="F113" s="228"/>
      <c r="G113" s="228"/>
    </row>
    <row r="114" spans="4:7" ht="15.75" customHeight="1">
      <c r="D114" s="228"/>
      <c r="E114" s="228"/>
      <c r="F114" s="228"/>
      <c r="G114" s="228"/>
    </row>
    <row r="115" spans="4:7" ht="15.75" customHeight="1">
      <c r="D115" s="228"/>
      <c r="E115" s="228"/>
      <c r="F115" s="228"/>
      <c r="G115" s="228"/>
    </row>
    <row r="116" spans="4:7" ht="15.75" customHeight="1">
      <c r="D116" s="228"/>
      <c r="E116" s="228"/>
      <c r="F116" s="228"/>
      <c r="G116" s="228"/>
    </row>
    <row r="117" spans="4:7" ht="15.75" customHeight="1">
      <c r="D117" s="228"/>
      <c r="E117" s="228"/>
      <c r="F117" s="228"/>
      <c r="G117" s="228"/>
    </row>
    <row r="118" spans="4:7" ht="15.75" customHeight="1">
      <c r="D118" s="228"/>
      <c r="E118" s="228"/>
      <c r="F118" s="228"/>
      <c r="G118" s="228"/>
    </row>
    <row r="119" spans="4:7" ht="15.75" customHeight="1">
      <c r="D119" s="228"/>
      <c r="E119" s="228"/>
      <c r="F119" s="228"/>
      <c r="G119" s="228"/>
    </row>
    <row r="120" spans="4:7" ht="15.75" customHeight="1">
      <c r="D120" s="228"/>
      <c r="E120" s="228"/>
      <c r="F120" s="228"/>
      <c r="G120" s="228"/>
    </row>
    <row r="121" spans="4:7" ht="15.75" customHeight="1">
      <c r="D121" s="228"/>
      <c r="E121" s="228"/>
      <c r="F121" s="228"/>
      <c r="G121" s="228"/>
    </row>
    <row r="122" spans="4:7" ht="15.75" customHeight="1">
      <c r="D122" s="228"/>
      <c r="E122" s="228"/>
      <c r="F122" s="228"/>
      <c r="G122" s="228"/>
    </row>
    <row r="123" spans="4:7" ht="15.75" customHeight="1">
      <c r="D123" s="228"/>
      <c r="E123" s="228"/>
      <c r="F123" s="228"/>
      <c r="G123" s="228"/>
    </row>
    <row r="124" spans="4:7" ht="15.75" customHeight="1">
      <c r="D124" s="228"/>
      <c r="E124" s="228"/>
      <c r="F124" s="228"/>
      <c r="G124" s="228"/>
    </row>
    <row r="125" spans="4:7" ht="15.75" customHeight="1">
      <c r="D125" s="228"/>
      <c r="E125" s="228"/>
      <c r="F125" s="228"/>
      <c r="G125" s="228"/>
    </row>
    <row r="126" spans="4:7" ht="15.75" customHeight="1">
      <c r="D126" s="228"/>
      <c r="E126" s="228"/>
      <c r="F126" s="228"/>
      <c r="G126" s="228"/>
    </row>
    <row r="127" spans="4:7" ht="15.75" customHeight="1">
      <c r="D127" s="228"/>
      <c r="E127" s="228"/>
      <c r="F127" s="228"/>
      <c r="G127" s="228"/>
    </row>
    <row r="128" spans="4:7" ht="15.75" customHeight="1">
      <c r="D128" s="228"/>
      <c r="E128" s="228"/>
      <c r="F128" s="228"/>
      <c r="G128" s="228"/>
    </row>
    <row r="129" spans="4:7" ht="15.75" customHeight="1">
      <c r="D129" s="228"/>
      <c r="E129" s="228"/>
      <c r="F129" s="228"/>
      <c r="G129" s="228"/>
    </row>
    <row r="130" spans="4:7" ht="15.75" customHeight="1">
      <c r="D130" s="228"/>
      <c r="E130" s="228"/>
      <c r="F130" s="228"/>
      <c r="G130" s="228"/>
    </row>
    <row r="131" spans="4:7" ht="15.75" customHeight="1">
      <c r="D131" s="228"/>
      <c r="E131" s="228"/>
      <c r="F131" s="228"/>
      <c r="G131" s="228"/>
    </row>
    <row r="132" spans="4:7" ht="15.75" customHeight="1">
      <c r="D132" s="228"/>
      <c r="E132" s="228"/>
      <c r="F132" s="228"/>
      <c r="G132" s="228"/>
    </row>
    <row r="133" spans="4:7" ht="15.75" customHeight="1">
      <c r="D133" s="228"/>
      <c r="E133" s="228"/>
      <c r="F133" s="228"/>
      <c r="G133" s="228"/>
    </row>
    <row r="134" spans="4:7" ht="15.75" customHeight="1">
      <c r="D134" s="228"/>
      <c r="E134" s="228"/>
      <c r="F134" s="228"/>
      <c r="G134" s="228"/>
    </row>
    <row r="135" spans="4:7" ht="15.75" customHeight="1">
      <c r="D135" s="228"/>
      <c r="E135" s="228"/>
      <c r="F135" s="228"/>
      <c r="G135" s="228"/>
    </row>
    <row r="136" spans="4:7" ht="15.75" customHeight="1">
      <c r="D136" s="228"/>
      <c r="E136" s="228"/>
      <c r="F136" s="228"/>
      <c r="G136" s="228"/>
    </row>
    <row r="137" spans="4:7" ht="15.75" customHeight="1">
      <c r="D137" s="228"/>
      <c r="E137" s="228"/>
      <c r="F137" s="228"/>
      <c r="G137" s="228"/>
    </row>
    <row r="138" spans="4:7" ht="15.75" customHeight="1">
      <c r="D138" s="228"/>
      <c r="E138" s="228"/>
      <c r="F138" s="228"/>
      <c r="G138" s="228"/>
    </row>
    <row r="139" spans="4:7" ht="15.75" customHeight="1">
      <c r="D139" s="228"/>
      <c r="E139" s="228"/>
      <c r="F139" s="228"/>
      <c r="G139" s="228"/>
    </row>
    <row r="140" spans="4:7" ht="15.75" customHeight="1">
      <c r="D140" s="228"/>
      <c r="E140" s="228"/>
      <c r="F140" s="228"/>
      <c r="G140" s="228"/>
    </row>
    <row r="141" spans="4:7" ht="15.75" customHeight="1">
      <c r="D141" s="228"/>
      <c r="E141" s="228"/>
      <c r="F141" s="228"/>
      <c r="G141" s="228"/>
    </row>
    <row r="142" spans="4:7" ht="15.75" customHeight="1">
      <c r="D142" s="228"/>
      <c r="E142" s="228"/>
      <c r="F142" s="228"/>
      <c r="G142" s="228"/>
    </row>
    <row r="143" spans="4:7" ht="15.75" customHeight="1">
      <c r="D143" s="228"/>
      <c r="E143" s="228"/>
      <c r="F143" s="228"/>
      <c r="G143" s="228"/>
    </row>
    <row r="144" spans="4:7" ht="15.75" customHeight="1">
      <c r="D144" s="228"/>
      <c r="E144" s="228"/>
      <c r="F144" s="228"/>
      <c r="G144" s="228"/>
    </row>
    <row r="145" spans="4:7" ht="15.75" customHeight="1">
      <c r="D145" s="228"/>
      <c r="E145" s="228"/>
      <c r="F145" s="228"/>
      <c r="G145" s="228"/>
    </row>
    <row r="146" spans="4:7" ht="15.75" customHeight="1">
      <c r="D146" s="228"/>
      <c r="E146" s="228"/>
      <c r="F146" s="228"/>
      <c r="G146" s="228"/>
    </row>
    <row r="147" spans="4:7" ht="15.75" customHeight="1">
      <c r="D147" s="228"/>
      <c r="E147" s="228"/>
      <c r="F147" s="228"/>
      <c r="G147" s="228"/>
    </row>
    <row r="148" spans="4:7" ht="15.75" customHeight="1">
      <c r="D148" s="228"/>
      <c r="E148" s="228"/>
      <c r="F148" s="228"/>
      <c r="G148" s="228"/>
    </row>
    <row r="149" spans="4:7" ht="15.75" customHeight="1">
      <c r="D149" s="228"/>
      <c r="E149" s="228"/>
      <c r="F149" s="228"/>
      <c r="G149" s="228"/>
    </row>
    <row r="150" spans="4:7" ht="15.75" customHeight="1">
      <c r="D150" s="228"/>
      <c r="E150" s="228"/>
      <c r="F150" s="228"/>
      <c r="G150" s="228"/>
    </row>
    <row r="151" spans="4:7" ht="15.75" customHeight="1">
      <c r="D151" s="228"/>
      <c r="E151" s="228"/>
      <c r="F151" s="228"/>
      <c r="G151" s="228"/>
    </row>
    <row r="152" spans="4:7" ht="15.75" customHeight="1">
      <c r="D152" s="228"/>
      <c r="E152" s="228"/>
      <c r="F152" s="228"/>
      <c r="G152" s="228"/>
    </row>
    <row r="153" spans="4:7" ht="15.75" customHeight="1">
      <c r="D153" s="228"/>
      <c r="E153" s="228"/>
      <c r="F153" s="228"/>
      <c r="G153" s="228"/>
    </row>
    <row r="154" spans="4:7" ht="15.75" customHeight="1">
      <c r="D154" s="228"/>
      <c r="E154" s="228"/>
      <c r="F154" s="228"/>
      <c r="G154" s="228"/>
    </row>
    <row r="155" spans="4:7" ht="15.75" customHeight="1">
      <c r="D155" s="228"/>
      <c r="E155" s="228"/>
      <c r="F155" s="228"/>
      <c r="G155" s="228"/>
    </row>
    <row r="156" spans="4:7" ht="15.75" customHeight="1">
      <c r="D156" s="228"/>
      <c r="E156" s="228"/>
      <c r="F156" s="228"/>
      <c r="G156" s="228"/>
    </row>
    <row r="157" spans="4:7" ht="15.75" customHeight="1">
      <c r="D157" s="228"/>
      <c r="E157" s="228"/>
      <c r="F157" s="228"/>
      <c r="G157" s="228"/>
    </row>
    <row r="158" spans="4:7" ht="15.75" customHeight="1">
      <c r="D158" s="228"/>
      <c r="E158" s="228"/>
      <c r="F158" s="228"/>
      <c r="G158" s="228"/>
    </row>
    <row r="159" spans="4:7" ht="15.75" customHeight="1">
      <c r="D159" s="228"/>
      <c r="E159" s="228"/>
      <c r="F159" s="228"/>
      <c r="G159" s="228"/>
    </row>
    <row r="160" spans="4:7" ht="15.75" customHeight="1">
      <c r="D160" s="228"/>
      <c r="E160" s="228"/>
      <c r="F160" s="228"/>
      <c r="G160" s="228"/>
    </row>
    <row r="161" spans="4:7" ht="15.75" customHeight="1">
      <c r="D161" s="228"/>
      <c r="E161" s="228"/>
      <c r="F161" s="228"/>
      <c r="G161" s="228"/>
    </row>
    <row r="162" spans="4:7" ht="15.75" customHeight="1">
      <c r="D162" s="228"/>
      <c r="E162" s="228"/>
      <c r="F162" s="228"/>
      <c r="G162" s="228"/>
    </row>
    <row r="163" spans="4:7" ht="15.75" customHeight="1">
      <c r="D163" s="228"/>
      <c r="E163" s="228"/>
      <c r="F163" s="228"/>
      <c r="G163" s="228"/>
    </row>
    <row r="164" spans="4:7" ht="15.75" customHeight="1">
      <c r="D164" s="228"/>
      <c r="E164" s="228"/>
      <c r="F164" s="228"/>
      <c r="G164" s="228"/>
    </row>
    <row r="165" spans="4:7" ht="15.75" customHeight="1">
      <c r="D165" s="228"/>
      <c r="E165" s="228"/>
      <c r="F165" s="228"/>
      <c r="G165" s="228"/>
    </row>
    <row r="166" spans="4:7" ht="15.75" customHeight="1">
      <c r="D166" s="228"/>
      <c r="E166" s="228"/>
      <c r="F166" s="228"/>
      <c r="G166" s="228"/>
    </row>
    <row r="167" spans="4:7" ht="15.75" customHeight="1">
      <c r="D167" s="228"/>
      <c r="E167" s="228"/>
      <c r="F167" s="228"/>
      <c r="G167" s="228"/>
    </row>
    <row r="168" spans="4:7" ht="15.75" customHeight="1">
      <c r="D168" s="228"/>
      <c r="E168" s="228"/>
      <c r="F168" s="228"/>
      <c r="G168" s="228"/>
    </row>
    <row r="169" spans="4:7" ht="15.75" customHeight="1">
      <c r="D169" s="228"/>
      <c r="E169" s="228"/>
      <c r="F169" s="228"/>
      <c r="G169" s="228"/>
    </row>
    <row r="170" spans="4:7" ht="15.75" customHeight="1">
      <c r="D170" s="228"/>
      <c r="E170" s="228"/>
      <c r="F170" s="228"/>
      <c r="G170" s="228"/>
    </row>
    <row r="171" spans="4:7" ht="15.75" customHeight="1">
      <c r="D171" s="228"/>
      <c r="E171" s="228"/>
      <c r="F171" s="228"/>
      <c r="G171" s="228"/>
    </row>
    <row r="172" spans="4:7" ht="15.75" customHeight="1">
      <c r="D172" s="228"/>
      <c r="E172" s="228"/>
      <c r="F172" s="228"/>
      <c r="G172" s="228"/>
    </row>
    <row r="173" spans="4:7" ht="15.75" customHeight="1">
      <c r="D173" s="228"/>
      <c r="E173" s="228"/>
      <c r="F173" s="228"/>
      <c r="G173" s="228"/>
    </row>
    <row r="174" spans="4:7" ht="15.75" customHeight="1">
      <c r="D174" s="228"/>
      <c r="E174" s="228"/>
      <c r="F174" s="228"/>
      <c r="G174" s="228"/>
    </row>
    <row r="175" spans="4:7" ht="15.75" customHeight="1">
      <c r="D175" s="228"/>
      <c r="E175" s="228"/>
      <c r="F175" s="228"/>
      <c r="G175" s="228"/>
    </row>
    <row r="176" spans="4:7" ht="15.75" customHeight="1">
      <c r="D176" s="228"/>
      <c r="E176" s="228"/>
      <c r="F176" s="228"/>
      <c r="G176" s="228"/>
    </row>
    <row r="177" spans="4:7" ht="15.75" customHeight="1">
      <c r="D177" s="228"/>
      <c r="E177" s="228"/>
      <c r="F177" s="228"/>
      <c r="G177" s="228"/>
    </row>
    <row r="178" spans="4:7" ht="15.75" customHeight="1">
      <c r="D178" s="228"/>
      <c r="E178" s="228"/>
      <c r="F178" s="228"/>
      <c r="G178" s="228"/>
    </row>
    <row r="179" spans="4:7" ht="15.75" customHeight="1">
      <c r="D179" s="228"/>
      <c r="E179" s="228"/>
      <c r="F179" s="228"/>
      <c r="G179" s="228"/>
    </row>
    <row r="180" spans="4:7" ht="15.75" customHeight="1">
      <c r="D180" s="228"/>
      <c r="E180" s="228"/>
      <c r="F180" s="228"/>
      <c r="G180" s="228"/>
    </row>
    <row r="181" spans="4:7" ht="15.75" customHeight="1">
      <c r="D181" s="228"/>
      <c r="E181" s="228"/>
      <c r="F181" s="228"/>
      <c r="G181" s="228"/>
    </row>
    <row r="182" spans="4:7" ht="15.75" customHeight="1">
      <c r="D182" s="228"/>
      <c r="E182" s="228"/>
      <c r="F182" s="228"/>
      <c r="G182" s="228"/>
    </row>
    <row r="183" spans="4:7" ht="15.75" customHeight="1">
      <c r="D183" s="228"/>
      <c r="E183" s="228"/>
      <c r="F183" s="228"/>
      <c r="G183" s="228"/>
    </row>
    <row r="184" spans="4:7" ht="15.75" customHeight="1">
      <c r="D184" s="228"/>
      <c r="E184" s="228"/>
      <c r="F184" s="228"/>
      <c r="G184" s="228"/>
    </row>
    <row r="185" spans="4:7" ht="15.75" customHeight="1">
      <c r="D185" s="228"/>
      <c r="E185" s="228"/>
      <c r="F185" s="228"/>
      <c r="G185" s="228"/>
    </row>
    <row r="186" spans="4:7" ht="15.75" customHeight="1">
      <c r="D186" s="228"/>
      <c r="E186" s="228"/>
      <c r="F186" s="228"/>
      <c r="G186" s="228"/>
    </row>
    <row r="187" spans="4:7" ht="15.75" customHeight="1">
      <c r="D187" s="228"/>
      <c r="E187" s="228"/>
      <c r="F187" s="228"/>
      <c r="G187" s="228"/>
    </row>
    <row r="188" spans="4:7" ht="15.75" customHeight="1">
      <c r="D188" s="228"/>
      <c r="E188" s="228"/>
      <c r="F188" s="228"/>
      <c r="G188" s="228"/>
    </row>
    <row r="189" spans="4:7" ht="15.75" customHeight="1">
      <c r="D189" s="228"/>
      <c r="E189" s="228"/>
      <c r="F189" s="228"/>
      <c r="G189" s="228"/>
    </row>
    <row r="190" spans="4:7" ht="15.75" customHeight="1">
      <c r="D190" s="228"/>
      <c r="E190" s="228"/>
      <c r="F190" s="228"/>
      <c r="G190" s="228"/>
    </row>
    <row r="191" spans="4:7" ht="15.75" customHeight="1">
      <c r="D191" s="228"/>
      <c r="E191" s="228"/>
      <c r="F191" s="228"/>
      <c r="G191" s="228"/>
    </row>
    <row r="192" spans="4:7" ht="15.75" customHeight="1">
      <c r="D192" s="228"/>
      <c r="E192" s="228"/>
      <c r="F192" s="228"/>
      <c r="G192" s="228"/>
    </row>
    <row r="193" spans="4:7" ht="15.75" customHeight="1">
      <c r="D193" s="228"/>
      <c r="E193" s="228"/>
      <c r="F193" s="228"/>
      <c r="G193" s="228"/>
    </row>
    <row r="194" spans="4:7" ht="15.75" customHeight="1">
      <c r="D194" s="228"/>
      <c r="E194" s="228"/>
      <c r="F194" s="228"/>
      <c r="G194" s="228"/>
    </row>
    <row r="195" spans="4:7" ht="15.75" customHeight="1">
      <c r="D195" s="228"/>
      <c r="E195" s="228"/>
      <c r="F195" s="228"/>
      <c r="G195" s="228"/>
    </row>
    <row r="196" spans="4:7" ht="15.75" customHeight="1">
      <c r="D196" s="228"/>
      <c r="E196" s="228"/>
      <c r="F196" s="228"/>
      <c r="G196" s="228"/>
    </row>
    <row r="197" spans="4:7" ht="15.75" customHeight="1">
      <c r="D197" s="228"/>
      <c r="E197" s="228"/>
      <c r="F197" s="228"/>
      <c r="G197" s="228"/>
    </row>
    <row r="198" spans="4:7" ht="15.75" customHeight="1">
      <c r="D198" s="228"/>
      <c r="E198" s="228"/>
      <c r="F198" s="228"/>
      <c r="G198" s="228"/>
    </row>
    <row r="199" spans="4:7" ht="15.75" customHeight="1">
      <c r="D199" s="228"/>
      <c r="E199" s="228"/>
      <c r="F199" s="228"/>
      <c r="G199" s="228"/>
    </row>
    <row r="200" spans="4:7" ht="15.75" customHeight="1">
      <c r="D200" s="228"/>
      <c r="E200" s="228"/>
      <c r="F200" s="228"/>
      <c r="G200" s="228"/>
    </row>
    <row r="201" spans="4:7" ht="15.75" customHeight="1">
      <c r="D201" s="228"/>
      <c r="E201" s="228"/>
      <c r="F201" s="228"/>
      <c r="G201" s="228"/>
    </row>
    <row r="202" spans="4:7" ht="15.75" customHeight="1">
      <c r="D202" s="228"/>
      <c r="E202" s="228"/>
      <c r="F202" s="228"/>
      <c r="G202" s="228"/>
    </row>
    <row r="203" spans="4:7" ht="15.75" customHeight="1">
      <c r="D203" s="228"/>
      <c r="E203" s="228"/>
      <c r="F203" s="228"/>
      <c r="G203" s="228"/>
    </row>
    <row r="204" spans="4:7" ht="15.75" customHeight="1">
      <c r="D204" s="228"/>
      <c r="E204" s="228"/>
      <c r="F204" s="228"/>
      <c r="G204" s="228"/>
    </row>
    <row r="205" spans="4:7" ht="15.75" customHeight="1">
      <c r="D205" s="228"/>
      <c r="E205" s="228"/>
      <c r="F205" s="228"/>
      <c r="G205" s="228"/>
    </row>
    <row r="206" spans="4:7" ht="15.75" customHeight="1">
      <c r="D206" s="228"/>
      <c r="E206" s="228"/>
      <c r="F206" s="228"/>
      <c r="G206" s="228"/>
    </row>
    <row r="207" spans="4:7" ht="15.75" customHeight="1">
      <c r="D207" s="228"/>
      <c r="E207" s="228"/>
      <c r="F207" s="228"/>
      <c r="G207" s="228"/>
    </row>
    <row r="208" spans="4:7" ht="15.75" customHeight="1">
      <c r="D208" s="228"/>
      <c r="E208" s="228"/>
      <c r="F208" s="228"/>
      <c r="G208" s="228"/>
    </row>
    <row r="209" spans="4:7" ht="15.75" customHeight="1">
      <c r="D209" s="228"/>
      <c r="E209" s="228"/>
      <c r="F209" s="228"/>
      <c r="G209" s="228"/>
    </row>
    <row r="210" spans="4:7" ht="15.75" customHeight="1">
      <c r="D210" s="228"/>
      <c r="E210" s="228"/>
      <c r="F210" s="228"/>
      <c r="G210" s="228"/>
    </row>
    <row r="211" spans="4:7" ht="15.75" customHeight="1">
      <c r="D211" s="228"/>
      <c r="E211" s="228"/>
      <c r="F211" s="228"/>
      <c r="G211" s="228"/>
    </row>
    <row r="212" spans="4:7" ht="15.75" customHeight="1">
      <c r="D212" s="228"/>
      <c r="E212" s="228"/>
      <c r="F212" s="228"/>
      <c r="G212" s="228"/>
    </row>
    <row r="213" spans="4:7" ht="15.75" customHeight="1">
      <c r="D213" s="228"/>
      <c r="E213" s="228"/>
      <c r="F213" s="228"/>
      <c r="G213" s="228"/>
    </row>
    <row r="214" spans="4:7" ht="15.75" customHeight="1">
      <c r="D214" s="228"/>
      <c r="E214" s="228"/>
      <c r="F214" s="228"/>
      <c r="G214" s="228"/>
    </row>
    <row r="215" spans="4:7" ht="15.75" customHeight="1">
      <c r="D215" s="228"/>
      <c r="E215" s="228"/>
      <c r="F215" s="228"/>
      <c r="G215" s="228"/>
    </row>
    <row r="216" spans="4:7" ht="15.75" customHeight="1">
      <c r="D216" s="228"/>
      <c r="E216" s="228"/>
      <c r="F216" s="228"/>
      <c r="G216" s="228"/>
    </row>
    <row r="217" spans="4:7" ht="15.75" customHeight="1">
      <c r="D217" s="228"/>
      <c r="E217" s="228"/>
      <c r="F217" s="228"/>
      <c r="G217" s="228"/>
    </row>
    <row r="218" spans="4:7" ht="15.75" customHeight="1">
      <c r="D218" s="228"/>
      <c r="E218" s="228"/>
      <c r="F218" s="228"/>
      <c r="G218" s="228"/>
    </row>
    <row r="219" spans="4:7" ht="15.75" customHeight="1">
      <c r="D219" s="228"/>
      <c r="E219" s="228"/>
      <c r="F219" s="228"/>
      <c r="G219" s="228"/>
    </row>
    <row r="220" spans="4:7" ht="15.75" customHeight="1">
      <c r="D220" s="228"/>
      <c r="E220" s="228"/>
      <c r="F220" s="228"/>
      <c r="G220" s="228"/>
    </row>
    <row r="221" spans="4:7" ht="15.75" customHeight="1">
      <c r="D221" s="228"/>
      <c r="E221" s="228"/>
      <c r="F221" s="228"/>
      <c r="G221" s="228"/>
    </row>
    <row r="222" spans="4:7" ht="15.75" customHeight="1">
      <c r="D222" s="228"/>
      <c r="E222" s="228"/>
      <c r="F222" s="228"/>
      <c r="G222" s="228"/>
    </row>
    <row r="223" spans="4:7" ht="15.75" customHeight="1"/>
    <row r="224" spans="4:7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CC0000"/>
  </sheetPr>
  <dimension ref="A1:C1000"/>
  <sheetViews>
    <sheetView workbookViewId="0"/>
  </sheetViews>
  <sheetFormatPr defaultColWidth="12.6640625" defaultRowHeight="15" customHeight="1"/>
  <cols>
    <col min="1" max="1" width="25.77734375" customWidth="1"/>
    <col min="2" max="6" width="8.6640625" customWidth="1"/>
  </cols>
  <sheetData>
    <row r="1" spans="1:3" ht="14.25" customHeight="1">
      <c r="A1" s="63" t="s">
        <v>611</v>
      </c>
      <c r="B1" s="228">
        <v>3</v>
      </c>
      <c r="C1" s="243">
        <v>45536</v>
      </c>
    </row>
    <row r="2" spans="1:3" ht="14.25" customHeight="1">
      <c r="A2" s="63" t="s">
        <v>612</v>
      </c>
      <c r="B2" s="228">
        <v>2</v>
      </c>
      <c r="C2" s="243">
        <v>45689</v>
      </c>
    </row>
    <row r="3" spans="1:3" ht="14.25" customHeight="1">
      <c r="A3" s="63" t="s">
        <v>613</v>
      </c>
      <c r="B3" s="228">
        <v>3</v>
      </c>
      <c r="C3" s="243">
        <v>45536</v>
      </c>
    </row>
    <row r="4" spans="1:3" ht="14.25" customHeight="1">
      <c r="A4" s="63" t="s">
        <v>614</v>
      </c>
      <c r="B4" s="228">
        <v>2</v>
      </c>
      <c r="C4" s="243">
        <v>45689</v>
      </c>
    </row>
    <row r="5" spans="1:3" ht="14.25" customHeight="1">
      <c r="A5" s="63" t="s">
        <v>615</v>
      </c>
      <c r="B5" s="228">
        <v>2</v>
      </c>
      <c r="C5" s="243">
        <v>45689</v>
      </c>
    </row>
    <row r="6" spans="1:3" ht="14.25" customHeight="1">
      <c r="A6" s="63" t="s">
        <v>616</v>
      </c>
      <c r="B6" s="228">
        <v>2</v>
      </c>
      <c r="C6" s="243">
        <v>45689</v>
      </c>
    </row>
    <row r="7" spans="1:3" ht="14.25" customHeight="1">
      <c r="A7" s="63" t="s">
        <v>617</v>
      </c>
      <c r="B7" s="228">
        <v>3</v>
      </c>
      <c r="C7" s="243">
        <v>45536</v>
      </c>
    </row>
    <row r="8" spans="1:3" ht="14.25" customHeight="1">
      <c r="A8" s="63" t="s">
        <v>618</v>
      </c>
      <c r="B8" s="228">
        <v>2</v>
      </c>
      <c r="C8" s="243">
        <v>45689</v>
      </c>
    </row>
    <row r="9" spans="1:3" ht="14.25" customHeight="1">
      <c r="A9" s="63" t="s">
        <v>619</v>
      </c>
      <c r="B9" s="228">
        <v>3</v>
      </c>
      <c r="C9" s="243">
        <v>45536</v>
      </c>
    </row>
    <row r="10" spans="1:3" ht="14.25" customHeight="1">
      <c r="A10" s="63" t="s">
        <v>620</v>
      </c>
      <c r="B10" s="228">
        <v>2</v>
      </c>
      <c r="C10" s="243">
        <v>45689</v>
      </c>
    </row>
    <row r="11" spans="1:3" ht="14.25" customHeight="1">
      <c r="B11" s="244"/>
      <c r="C11" s="244"/>
    </row>
    <row r="12" spans="1:3" ht="14.25" customHeight="1">
      <c r="B12" s="244"/>
      <c r="C12" s="244"/>
    </row>
    <row r="13" spans="1:3" ht="14.25" customHeight="1">
      <c r="B13" s="244"/>
      <c r="C13" s="244"/>
    </row>
    <row r="14" spans="1:3" ht="14.25" customHeight="1">
      <c r="B14" s="244"/>
      <c r="C14" s="244"/>
    </row>
    <row r="15" spans="1:3" ht="14.25" customHeight="1">
      <c r="B15" s="244"/>
      <c r="C15" s="244"/>
    </row>
    <row r="16" spans="1:3" ht="14.25" customHeight="1">
      <c r="B16" s="244"/>
      <c r="C16" s="244"/>
    </row>
    <row r="17" spans="2:3" ht="14.25" customHeight="1">
      <c r="B17" s="244"/>
      <c r="C17" s="244"/>
    </row>
    <row r="18" spans="2:3" ht="14.25" customHeight="1">
      <c r="B18" s="244"/>
      <c r="C18" s="244"/>
    </row>
    <row r="19" spans="2:3" ht="14.25" customHeight="1">
      <c r="B19" s="244"/>
      <c r="C19" s="244"/>
    </row>
    <row r="20" spans="2:3" ht="14.25" customHeight="1">
      <c r="B20" s="244"/>
      <c r="C20" s="244"/>
    </row>
    <row r="21" spans="2:3" ht="14.25" customHeight="1">
      <c r="B21" s="244"/>
      <c r="C21" s="244"/>
    </row>
    <row r="22" spans="2:3" ht="14.25" customHeight="1">
      <c r="B22" s="244"/>
      <c r="C22" s="244"/>
    </row>
    <row r="23" spans="2:3" ht="14.25" customHeight="1">
      <c r="B23" s="244"/>
      <c r="C23" s="244"/>
    </row>
    <row r="24" spans="2:3" ht="14.25" customHeight="1">
      <c r="B24" s="244"/>
      <c r="C24" s="244"/>
    </row>
    <row r="25" spans="2:3" ht="14.25" customHeight="1">
      <c r="B25" s="244"/>
      <c r="C25" s="244"/>
    </row>
    <row r="26" spans="2:3" ht="14.25" customHeight="1">
      <c r="B26" s="244"/>
      <c r="C26" s="244"/>
    </row>
    <row r="27" spans="2:3" ht="14.25" customHeight="1">
      <c r="B27" s="244"/>
      <c r="C27" s="244"/>
    </row>
    <row r="28" spans="2:3" ht="14.25" customHeight="1">
      <c r="B28" s="244"/>
      <c r="C28" s="244"/>
    </row>
    <row r="29" spans="2:3" ht="14.25" customHeight="1">
      <c r="B29" s="244"/>
      <c r="C29" s="244"/>
    </row>
    <row r="30" spans="2:3" ht="14.25" customHeight="1">
      <c r="B30" s="244"/>
      <c r="C30" s="244"/>
    </row>
    <row r="31" spans="2:3" ht="14.25" customHeight="1">
      <c r="B31" s="244"/>
      <c r="C31" s="244"/>
    </row>
    <row r="32" spans="2:3" ht="14.25" customHeight="1">
      <c r="B32" s="244"/>
      <c r="C32" s="244"/>
    </row>
    <row r="33" spans="2:3" ht="14.25" customHeight="1">
      <c r="B33" s="244"/>
      <c r="C33" s="244"/>
    </row>
    <row r="34" spans="2:3" ht="14.25" customHeight="1">
      <c r="B34" s="244"/>
      <c r="C34" s="244"/>
    </row>
    <row r="35" spans="2:3" ht="14.25" customHeight="1">
      <c r="B35" s="244"/>
      <c r="C35" s="244"/>
    </row>
    <row r="36" spans="2:3" ht="14.25" customHeight="1">
      <c r="B36" s="244"/>
      <c r="C36" s="244"/>
    </row>
    <row r="37" spans="2:3" ht="14.25" customHeight="1">
      <c r="B37" s="244"/>
      <c r="C37" s="244"/>
    </row>
    <row r="38" spans="2:3" ht="14.25" customHeight="1">
      <c r="B38" s="244"/>
      <c r="C38" s="244"/>
    </row>
    <row r="39" spans="2:3" ht="14.25" customHeight="1">
      <c r="B39" s="244"/>
      <c r="C39" s="244"/>
    </row>
    <row r="40" spans="2:3" ht="14.25" customHeight="1">
      <c r="B40" s="244"/>
      <c r="C40" s="244"/>
    </row>
    <row r="41" spans="2:3" ht="14.25" customHeight="1">
      <c r="B41" s="244"/>
      <c r="C41" s="244"/>
    </row>
    <row r="42" spans="2:3" ht="14.25" customHeight="1">
      <c r="B42" s="244"/>
      <c r="C42" s="244"/>
    </row>
    <row r="43" spans="2:3" ht="14.25" customHeight="1">
      <c r="B43" s="244"/>
      <c r="C43" s="244"/>
    </row>
    <row r="44" spans="2:3" ht="14.25" customHeight="1">
      <c r="B44" s="244"/>
      <c r="C44" s="244"/>
    </row>
    <row r="45" spans="2:3" ht="14.25" customHeight="1">
      <c r="B45" s="244"/>
      <c r="C45" s="244"/>
    </row>
    <row r="46" spans="2:3" ht="14.25" customHeight="1">
      <c r="B46" s="244"/>
      <c r="C46" s="244"/>
    </row>
    <row r="47" spans="2:3" ht="14.25" customHeight="1">
      <c r="B47" s="244"/>
      <c r="C47" s="244"/>
    </row>
    <row r="48" spans="2:3" ht="14.25" customHeight="1">
      <c r="B48" s="244"/>
      <c r="C48" s="244"/>
    </row>
    <row r="49" spans="2:3" ht="14.25" customHeight="1">
      <c r="B49" s="244"/>
      <c r="C49" s="244"/>
    </row>
    <row r="50" spans="2:3" ht="14.25" customHeight="1">
      <c r="B50" s="244"/>
      <c r="C50" s="244"/>
    </row>
    <row r="51" spans="2:3" ht="14.25" customHeight="1">
      <c r="B51" s="244"/>
      <c r="C51" s="244"/>
    </row>
    <row r="52" spans="2:3" ht="14.25" customHeight="1">
      <c r="B52" s="244"/>
      <c r="C52" s="244"/>
    </row>
    <row r="53" spans="2:3" ht="14.25" customHeight="1">
      <c r="B53" s="244"/>
      <c r="C53" s="244"/>
    </row>
    <row r="54" spans="2:3" ht="14.25" customHeight="1">
      <c r="B54" s="244"/>
      <c r="C54" s="244"/>
    </row>
    <row r="55" spans="2:3" ht="14.25" customHeight="1">
      <c r="B55" s="244"/>
      <c r="C55" s="244"/>
    </row>
    <row r="56" spans="2:3" ht="14.25" customHeight="1">
      <c r="B56" s="244"/>
      <c r="C56" s="244"/>
    </row>
    <row r="57" spans="2:3" ht="14.25" customHeight="1">
      <c r="B57" s="244"/>
      <c r="C57" s="244"/>
    </row>
    <row r="58" spans="2:3" ht="14.25" customHeight="1">
      <c r="B58" s="244"/>
      <c r="C58" s="244"/>
    </row>
    <row r="59" spans="2:3" ht="14.25" customHeight="1">
      <c r="B59" s="244"/>
      <c r="C59" s="244"/>
    </row>
    <row r="60" spans="2:3" ht="14.25" customHeight="1">
      <c r="B60" s="244"/>
      <c r="C60" s="244"/>
    </row>
    <row r="61" spans="2:3" ht="14.25" customHeight="1">
      <c r="B61" s="244"/>
      <c r="C61" s="244"/>
    </row>
    <row r="62" spans="2:3" ht="14.25" customHeight="1">
      <c r="B62" s="244"/>
      <c r="C62" s="244"/>
    </row>
    <row r="63" spans="2:3" ht="14.25" customHeight="1">
      <c r="B63" s="244"/>
      <c r="C63" s="244"/>
    </row>
    <row r="64" spans="2:3" ht="14.25" customHeight="1">
      <c r="B64" s="244"/>
      <c r="C64" s="244"/>
    </row>
    <row r="65" spans="2:3" ht="14.25" customHeight="1">
      <c r="B65" s="244"/>
      <c r="C65" s="244"/>
    </row>
    <row r="66" spans="2:3" ht="14.25" customHeight="1">
      <c r="B66" s="244"/>
      <c r="C66" s="244"/>
    </row>
    <row r="67" spans="2:3" ht="14.25" customHeight="1">
      <c r="B67" s="244"/>
      <c r="C67" s="244"/>
    </row>
    <row r="68" spans="2:3" ht="14.25" customHeight="1">
      <c r="B68" s="244"/>
      <c r="C68" s="244"/>
    </row>
    <row r="69" spans="2:3" ht="14.25" customHeight="1">
      <c r="B69" s="244"/>
      <c r="C69" s="244"/>
    </row>
    <row r="70" spans="2:3" ht="14.25" customHeight="1">
      <c r="B70" s="244"/>
      <c r="C70" s="244"/>
    </row>
    <row r="71" spans="2:3" ht="14.25" customHeight="1">
      <c r="B71" s="244"/>
      <c r="C71" s="244"/>
    </row>
    <row r="72" spans="2:3" ht="14.25" customHeight="1">
      <c r="B72" s="244"/>
      <c r="C72" s="244"/>
    </row>
    <row r="73" spans="2:3" ht="14.25" customHeight="1">
      <c r="B73" s="244"/>
      <c r="C73" s="244"/>
    </row>
    <row r="74" spans="2:3" ht="14.25" customHeight="1">
      <c r="B74" s="244"/>
      <c r="C74" s="244"/>
    </row>
    <row r="75" spans="2:3" ht="14.25" customHeight="1">
      <c r="B75" s="244"/>
      <c r="C75" s="244"/>
    </row>
    <row r="76" spans="2:3" ht="14.25" customHeight="1">
      <c r="B76" s="244"/>
      <c r="C76" s="244"/>
    </row>
    <row r="77" spans="2:3" ht="14.25" customHeight="1">
      <c r="B77" s="244"/>
      <c r="C77" s="244"/>
    </row>
    <row r="78" spans="2:3" ht="14.25" customHeight="1">
      <c r="B78" s="244"/>
      <c r="C78" s="244"/>
    </row>
    <row r="79" spans="2:3" ht="14.25" customHeight="1">
      <c r="B79" s="244"/>
      <c r="C79" s="244"/>
    </row>
    <row r="80" spans="2:3" ht="14.25" customHeight="1">
      <c r="B80" s="244"/>
      <c r="C80" s="244"/>
    </row>
    <row r="81" spans="2:3" ht="14.25" customHeight="1">
      <c r="B81" s="244"/>
      <c r="C81" s="244"/>
    </row>
    <row r="82" spans="2:3" ht="14.25" customHeight="1">
      <c r="B82" s="244"/>
      <c r="C82" s="244"/>
    </row>
    <row r="83" spans="2:3" ht="14.25" customHeight="1">
      <c r="B83" s="244"/>
      <c r="C83" s="244"/>
    </row>
    <row r="84" spans="2:3" ht="14.25" customHeight="1">
      <c r="B84" s="244"/>
      <c r="C84" s="244"/>
    </row>
    <row r="85" spans="2:3" ht="14.25" customHeight="1">
      <c r="B85" s="244"/>
      <c r="C85" s="244"/>
    </row>
    <row r="86" spans="2:3" ht="14.25" customHeight="1">
      <c r="B86" s="244"/>
      <c r="C86" s="244"/>
    </row>
    <row r="87" spans="2:3" ht="14.25" customHeight="1">
      <c r="B87" s="244"/>
      <c r="C87" s="244"/>
    </row>
    <row r="88" spans="2:3" ht="14.25" customHeight="1">
      <c r="B88" s="244"/>
      <c r="C88" s="244"/>
    </row>
    <row r="89" spans="2:3" ht="14.25" customHeight="1">
      <c r="B89" s="244"/>
      <c r="C89" s="244"/>
    </row>
    <row r="90" spans="2:3" ht="14.25" customHeight="1">
      <c r="B90" s="244"/>
      <c r="C90" s="244"/>
    </row>
    <row r="91" spans="2:3" ht="14.25" customHeight="1">
      <c r="B91" s="244"/>
      <c r="C91" s="244"/>
    </row>
    <row r="92" spans="2:3" ht="14.25" customHeight="1">
      <c r="B92" s="244"/>
      <c r="C92" s="244"/>
    </row>
    <row r="93" spans="2:3" ht="14.25" customHeight="1">
      <c r="B93" s="244"/>
      <c r="C93" s="244"/>
    </row>
    <row r="94" spans="2:3" ht="14.25" customHeight="1">
      <c r="B94" s="244"/>
      <c r="C94" s="244"/>
    </row>
    <row r="95" spans="2:3" ht="14.25" customHeight="1">
      <c r="B95" s="244"/>
      <c r="C95" s="244"/>
    </row>
    <row r="96" spans="2:3" ht="14.25" customHeight="1">
      <c r="B96" s="244"/>
      <c r="C96" s="244"/>
    </row>
    <row r="97" spans="2:3" ht="14.25" customHeight="1">
      <c r="B97" s="244"/>
      <c r="C97" s="244"/>
    </row>
    <row r="98" spans="2:3" ht="14.25" customHeight="1">
      <c r="B98" s="244"/>
      <c r="C98" s="244"/>
    </row>
    <row r="99" spans="2:3" ht="14.25" customHeight="1">
      <c r="B99" s="244"/>
      <c r="C99" s="244"/>
    </row>
    <row r="100" spans="2:3" ht="14.25" customHeight="1">
      <c r="B100" s="244"/>
      <c r="C100" s="244"/>
    </row>
    <row r="101" spans="2:3" ht="14.25" customHeight="1">
      <c r="B101" s="244"/>
      <c r="C101" s="244"/>
    </row>
    <row r="102" spans="2:3" ht="14.25" customHeight="1">
      <c r="B102" s="244"/>
      <c r="C102" s="244"/>
    </row>
    <row r="103" spans="2:3" ht="14.25" customHeight="1">
      <c r="B103" s="244"/>
      <c r="C103" s="244"/>
    </row>
    <row r="104" spans="2:3" ht="14.25" customHeight="1">
      <c r="B104" s="244"/>
      <c r="C104" s="244"/>
    </row>
    <row r="105" spans="2:3" ht="14.25" customHeight="1">
      <c r="B105" s="244"/>
      <c r="C105" s="244"/>
    </row>
    <row r="106" spans="2:3" ht="14.25" customHeight="1">
      <c r="B106" s="244"/>
      <c r="C106" s="244"/>
    </row>
    <row r="107" spans="2:3" ht="14.25" customHeight="1">
      <c r="B107" s="244"/>
      <c r="C107" s="244"/>
    </row>
    <row r="108" spans="2:3" ht="14.25" customHeight="1">
      <c r="B108" s="244"/>
      <c r="C108" s="244"/>
    </row>
    <row r="109" spans="2:3" ht="14.25" customHeight="1">
      <c r="B109" s="244"/>
      <c r="C109" s="244"/>
    </row>
    <row r="110" spans="2:3" ht="14.25" customHeight="1">
      <c r="B110" s="244"/>
      <c r="C110" s="244"/>
    </row>
    <row r="111" spans="2:3" ht="14.25" customHeight="1">
      <c r="B111" s="244"/>
      <c r="C111" s="244"/>
    </row>
    <row r="112" spans="2:3" ht="14.25" customHeight="1">
      <c r="B112" s="244"/>
      <c r="C112" s="244"/>
    </row>
    <row r="113" spans="2:3" ht="14.25" customHeight="1">
      <c r="B113" s="244"/>
      <c r="C113" s="244"/>
    </row>
    <row r="114" spans="2:3" ht="14.25" customHeight="1">
      <c r="B114" s="244"/>
      <c r="C114" s="244"/>
    </row>
    <row r="115" spans="2:3" ht="14.25" customHeight="1">
      <c r="B115" s="244"/>
      <c r="C115" s="244"/>
    </row>
    <row r="116" spans="2:3" ht="14.25" customHeight="1">
      <c r="B116" s="244"/>
      <c r="C116" s="244"/>
    </row>
    <row r="117" spans="2:3" ht="14.25" customHeight="1">
      <c r="B117" s="244"/>
      <c r="C117" s="244"/>
    </row>
    <row r="118" spans="2:3" ht="14.25" customHeight="1">
      <c r="B118" s="244"/>
      <c r="C118" s="244"/>
    </row>
    <row r="119" spans="2:3" ht="14.25" customHeight="1">
      <c r="B119" s="244"/>
      <c r="C119" s="244"/>
    </row>
    <row r="120" spans="2:3" ht="14.25" customHeight="1">
      <c r="B120" s="244"/>
      <c r="C120" s="244"/>
    </row>
    <row r="121" spans="2:3" ht="14.25" customHeight="1">
      <c r="B121" s="244"/>
      <c r="C121" s="244"/>
    </row>
    <row r="122" spans="2:3" ht="14.25" customHeight="1">
      <c r="B122" s="244"/>
      <c r="C122" s="244"/>
    </row>
    <row r="123" spans="2:3" ht="14.25" customHeight="1">
      <c r="B123" s="244"/>
      <c r="C123" s="244"/>
    </row>
    <row r="124" spans="2:3" ht="14.25" customHeight="1">
      <c r="B124" s="244"/>
      <c r="C124" s="244"/>
    </row>
    <row r="125" spans="2:3" ht="14.25" customHeight="1">
      <c r="B125" s="244"/>
      <c r="C125" s="244"/>
    </row>
    <row r="126" spans="2:3" ht="14.25" customHeight="1">
      <c r="B126" s="244"/>
      <c r="C126" s="244"/>
    </row>
    <row r="127" spans="2:3" ht="14.25" customHeight="1">
      <c r="B127" s="244"/>
      <c r="C127" s="244"/>
    </row>
    <row r="128" spans="2:3" ht="14.25" customHeight="1">
      <c r="B128" s="244"/>
      <c r="C128" s="244"/>
    </row>
    <row r="129" spans="2:3" ht="14.25" customHeight="1">
      <c r="B129" s="244"/>
      <c r="C129" s="244"/>
    </row>
    <row r="130" spans="2:3" ht="14.25" customHeight="1">
      <c r="B130" s="244"/>
      <c r="C130" s="244"/>
    </row>
    <row r="131" spans="2:3" ht="14.25" customHeight="1">
      <c r="B131" s="244"/>
      <c r="C131" s="244"/>
    </row>
    <row r="132" spans="2:3" ht="14.25" customHeight="1">
      <c r="B132" s="244"/>
      <c r="C132" s="244"/>
    </row>
    <row r="133" spans="2:3" ht="14.25" customHeight="1">
      <c r="B133" s="244"/>
      <c r="C133" s="244"/>
    </row>
    <row r="134" spans="2:3" ht="14.25" customHeight="1">
      <c r="B134" s="244"/>
      <c r="C134" s="244"/>
    </row>
    <row r="135" spans="2:3" ht="14.25" customHeight="1">
      <c r="B135" s="244"/>
      <c r="C135" s="244"/>
    </row>
    <row r="136" spans="2:3" ht="14.25" customHeight="1">
      <c r="B136" s="244"/>
      <c r="C136" s="244"/>
    </row>
    <row r="137" spans="2:3" ht="14.25" customHeight="1">
      <c r="B137" s="244"/>
      <c r="C137" s="244"/>
    </row>
    <row r="138" spans="2:3" ht="14.25" customHeight="1">
      <c r="B138" s="244"/>
      <c r="C138" s="244"/>
    </row>
    <row r="139" spans="2:3" ht="14.25" customHeight="1">
      <c r="B139" s="244"/>
      <c r="C139" s="244"/>
    </row>
    <row r="140" spans="2:3" ht="14.25" customHeight="1">
      <c r="B140" s="244"/>
      <c r="C140" s="244"/>
    </row>
    <row r="141" spans="2:3" ht="14.25" customHeight="1">
      <c r="B141" s="244"/>
      <c r="C141" s="244"/>
    </row>
    <row r="142" spans="2:3" ht="14.25" customHeight="1">
      <c r="B142" s="244"/>
      <c r="C142" s="244"/>
    </row>
    <row r="143" spans="2:3" ht="14.25" customHeight="1">
      <c r="B143" s="244"/>
      <c r="C143" s="244"/>
    </row>
    <row r="144" spans="2:3" ht="14.25" customHeight="1">
      <c r="B144" s="244"/>
      <c r="C144" s="244"/>
    </row>
    <row r="145" spans="2:3" ht="14.25" customHeight="1">
      <c r="B145" s="244"/>
      <c r="C145" s="244"/>
    </row>
    <row r="146" spans="2:3" ht="14.25" customHeight="1">
      <c r="B146" s="244"/>
      <c r="C146" s="244"/>
    </row>
    <row r="147" spans="2:3" ht="14.25" customHeight="1">
      <c r="B147" s="244"/>
      <c r="C147" s="244"/>
    </row>
    <row r="148" spans="2:3" ht="14.25" customHeight="1">
      <c r="B148" s="244"/>
      <c r="C148" s="244"/>
    </row>
    <row r="149" spans="2:3" ht="14.25" customHeight="1">
      <c r="B149" s="244"/>
      <c r="C149" s="244"/>
    </row>
    <row r="150" spans="2:3" ht="14.25" customHeight="1">
      <c r="B150" s="244"/>
      <c r="C150" s="244"/>
    </row>
    <row r="151" spans="2:3" ht="14.25" customHeight="1">
      <c r="B151" s="244"/>
      <c r="C151" s="244"/>
    </row>
    <row r="152" spans="2:3" ht="14.25" customHeight="1">
      <c r="B152" s="244"/>
      <c r="C152" s="244"/>
    </row>
    <row r="153" spans="2:3" ht="14.25" customHeight="1">
      <c r="B153" s="244"/>
      <c r="C153" s="244"/>
    </row>
    <row r="154" spans="2:3" ht="14.25" customHeight="1">
      <c r="B154" s="244"/>
      <c r="C154" s="244"/>
    </row>
    <row r="155" spans="2:3" ht="14.25" customHeight="1">
      <c r="B155" s="244"/>
      <c r="C155" s="244"/>
    </row>
    <row r="156" spans="2:3" ht="14.25" customHeight="1">
      <c r="B156" s="244"/>
      <c r="C156" s="244"/>
    </row>
    <row r="157" spans="2:3" ht="14.25" customHeight="1">
      <c r="B157" s="244"/>
      <c r="C157" s="244"/>
    </row>
    <row r="158" spans="2:3" ht="14.25" customHeight="1">
      <c r="B158" s="244"/>
      <c r="C158" s="244"/>
    </row>
    <row r="159" spans="2:3" ht="14.25" customHeight="1">
      <c r="B159" s="244"/>
      <c r="C159" s="244"/>
    </row>
    <row r="160" spans="2:3" ht="14.25" customHeight="1">
      <c r="B160" s="244"/>
      <c r="C160" s="244"/>
    </row>
    <row r="161" spans="2:3" ht="14.25" customHeight="1">
      <c r="B161" s="244"/>
      <c r="C161" s="244"/>
    </row>
    <row r="162" spans="2:3" ht="14.25" customHeight="1">
      <c r="B162" s="244"/>
      <c r="C162" s="244"/>
    </row>
    <row r="163" spans="2:3" ht="14.25" customHeight="1">
      <c r="B163" s="244"/>
      <c r="C163" s="244"/>
    </row>
    <row r="164" spans="2:3" ht="14.25" customHeight="1">
      <c r="B164" s="244"/>
      <c r="C164" s="244"/>
    </row>
    <row r="165" spans="2:3" ht="14.25" customHeight="1">
      <c r="B165" s="244"/>
      <c r="C165" s="244"/>
    </row>
    <row r="166" spans="2:3" ht="14.25" customHeight="1">
      <c r="B166" s="244"/>
      <c r="C166" s="244"/>
    </row>
    <row r="167" spans="2:3" ht="14.25" customHeight="1">
      <c r="B167" s="244"/>
      <c r="C167" s="244"/>
    </row>
    <row r="168" spans="2:3" ht="14.25" customHeight="1">
      <c r="B168" s="244"/>
      <c r="C168" s="244"/>
    </row>
    <row r="169" spans="2:3" ht="14.25" customHeight="1">
      <c r="B169" s="244"/>
      <c r="C169" s="244"/>
    </row>
    <row r="170" spans="2:3" ht="14.25" customHeight="1">
      <c r="B170" s="244"/>
      <c r="C170" s="244"/>
    </row>
    <row r="171" spans="2:3" ht="14.25" customHeight="1">
      <c r="B171" s="244"/>
      <c r="C171" s="244"/>
    </row>
    <row r="172" spans="2:3" ht="14.25" customHeight="1">
      <c r="B172" s="244"/>
      <c r="C172" s="244"/>
    </row>
    <row r="173" spans="2:3" ht="14.25" customHeight="1">
      <c r="B173" s="244"/>
      <c r="C173" s="244"/>
    </row>
    <row r="174" spans="2:3" ht="14.25" customHeight="1">
      <c r="B174" s="244"/>
      <c r="C174" s="244"/>
    </row>
    <row r="175" spans="2:3" ht="14.25" customHeight="1">
      <c r="B175" s="244"/>
      <c r="C175" s="244"/>
    </row>
    <row r="176" spans="2:3" ht="14.25" customHeight="1">
      <c r="B176" s="244"/>
      <c r="C176" s="244"/>
    </row>
    <row r="177" spans="2:3" ht="14.25" customHeight="1">
      <c r="B177" s="244"/>
      <c r="C177" s="244"/>
    </row>
    <row r="178" spans="2:3" ht="14.25" customHeight="1">
      <c r="B178" s="244"/>
      <c r="C178" s="244"/>
    </row>
    <row r="179" spans="2:3" ht="14.25" customHeight="1">
      <c r="B179" s="244"/>
      <c r="C179" s="244"/>
    </row>
    <row r="180" spans="2:3" ht="14.25" customHeight="1">
      <c r="B180" s="244"/>
      <c r="C180" s="244"/>
    </row>
    <row r="181" spans="2:3" ht="14.25" customHeight="1">
      <c r="B181" s="244"/>
      <c r="C181" s="244"/>
    </row>
    <row r="182" spans="2:3" ht="14.25" customHeight="1">
      <c r="B182" s="244"/>
      <c r="C182" s="244"/>
    </row>
    <row r="183" spans="2:3" ht="14.25" customHeight="1">
      <c r="B183" s="244"/>
      <c r="C183" s="244"/>
    </row>
    <row r="184" spans="2:3" ht="14.25" customHeight="1">
      <c r="B184" s="244"/>
      <c r="C184" s="244"/>
    </row>
    <row r="185" spans="2:3" ht="14.25" customHeight="1">
      <c r="B185" s="244"/>
      <c r="C185" s="244"/>
    </row>
    <row r="186" spans="2:3" ht="14.25" customHeight="1">
      <c r="B186" s="244"/>
      <c r="C186" s="244"/>
    </row>
    <row r="187" spans="2:3" ht="14.25" customHeight="1">
      <c r="B187" s="244"/>
      <c r="C187" s="244"/>
    </row>
    <row r="188" spans="2:3" ht="14.25" customHeight="1">
      <c r="B188" s="244"/>
      <c r="C188" s="244"/>
    </row>
    <row r="189" spans="2:3" ht="14.25" customHeight="1">
      <c r="B189" s="244"/>
      <c r="C189" s="244"/>
    </row>
    <row r="190" spans="2:3" ht="14.25" customHeight="1">
      <c r="B190" s="244"/>
      <c r="C190" s="244"/>
    </row>
    <row r="191" spans="2:3" ht="14.25" customHeight="1">
      <c r="B191" s="244"/>
      <c r="C191" s="244"/>
    </row>
    <row r="192" spans="2:3" ht="14.25" customHeight="1">
      <c r="B192" s="244"/>
      <c r="C192" s="244"/>
    </row>
    <row r="193" spans="2:3" ht="14.25" customHeight="1">
      <c r="B193" s="244"/>
      <c r="C193" s="244"/>
    </row>
    <row r="194" spans="2:3" ht="14.25" customHeight="1">
      <c r="B194" s="244"/>
      <c r="C194" s="244"/>
    </row>
    <row r="195" spans="2:3" ht="14.25" customHeight="1">
      <c r="B195" s="244"/>
      <c r="C195" s="244"/>
    </row>
    <row r="196" spans="2:3" ht="14.25" customHeight="1">
      <c r="B196" s="244"/>
      <c r="C196" s="244"/>
    </row>
    <row r="197" spans="2:3" ht="14.25" customHeight="1">
      <c r="B197" s="244"/>
      <c r="C197" s="244"/>
    </row>
    <row r="198" spans="2:3" ht="14.25" customHeight="1">
      <c r="B198" s="244"/>
      <c r="C198" s="244"/>
    </row>
    <row r="199" spans="2:3" ht="14.25" customHeight="1">
      <c r="B199" s="244"/>
      <c r="C199" s="244"/>
    </row>
    <row r="200" spans="2:3" ht="14.25" customHeight="1">
      <c r="B200" s="244"/>
      <c r="C200" s="244"/>
    </row>
    <row r="201" spans="2:3" ht="14.25" customHeight="1">
      <c r="B201" s="244"/>
      <c r="C201" s="244"/>
    </row>
    <row r="202" spans="2:3" ht="14.25" customHeight="1">
      <c r="B202" s="244"/>
      <c r="C202" s="244"/>
    </row>
    <row r="203" spans="2:3" ht="14.25" customHeight="1">
      <c r="B203" s="244"/>
      <c r="C203" s="244"/>
    </row>
    <row r="204" spans="2:3" ht="14.25" customHeight="1">
      <c r="B204" s="244"/>
      <c r="C204" s="244"/>
    </row>
    <row r="205" spans="2:3" ht="14.25" customHeight="1">
      <c r="B205" s="244"/>
      <c r="C205" s="244"/>
    </row>
    <row r="206" spans="2:3" ht="14.25" customHeight="1">
      <c r="B206" s="244"/>
      <c r="C206" s="244"/>
    </row>
    <row r="207" spans="2:3" ht="14.25" customHeight="1">
      <c r="B207" s="244"/>
      <c r="C207" s="244"/>
    </row>
    <row r="208" spans="2:3" ht="14.25" customHeight="1">
      <c r="B208" s="244"/>
      <c r="C208" s="244"/>
    </row>
    <row r="209" spans="2:3" ht="14.25" customHeight="1">
      <c r="B209" s="244"/>
      <c r="C209" s="244"/>
    </row>
    <row r="210" spans="2:3" ht="14.25" customHeight="1">
      <c r="B210" s="244"/>
      <c r="C210" s="244"/>
    </row>
    <row r="211" spans="2:3" ht="14.25" customHeight="1">
      <c r="B211" s="244"/>
      <c r="C211" s="244"/>
    </row>
    <row r="212" spans="2:3" ht="14.25" customHeight="1">
      <c r="B212" s="244"/>
      <c r="C212" s="244"/>
    </row>
    <row r="213" spans="2:3" ht="14.25" customHeight="1">
      <c r="B213" s="244"/>
      <c r="C213" s="244"/>
    </row>
    <row r="214" spans="2:3" ht="14.25" customHeight="1">
      <c r="B214" s="244"/>
      <c r="C214" s="244"/>
    </row>
    <row r="215" spans="2:3" ht="14.25" customHeight="1">
      <c r="B215" s="244"/>
      <c r="C215" s="244"/>
    </row>
    <row r="216" spans="2:3" ht="14.25" customHeight="1">
      <c r="B216" s="244"/>
      <c r="C216" s="244"/>
    </row>
    <row r="217" spans="2:3" ht="14.25" customHeight="1">
      <c r="B217" s="244"/>
      <c r="C217" s="244"/>
    </row>
    <row r="218" spans="2:3" ht="14.25" customHeight="1">
      <c r="B218" s="244"/>
      <c r="C218" s="244"/>
    </row>
    <row r="219" spans="2:3" ht="14.25" customHeight="1">
      <c r="B219" s="244"/>
      <c r="C219" s="244"/>
    </row>
    <row r="220" spans="2:3" ht="14.25" customHeight="1">
      <c r="B220" s="244"/>
      <c r="C220" s="244"/>
    </row>
    <row r="221" spans="2:3" ht="15.75" customHeight="1">
      <c r="B221" s="244"/>
      <c r="C221" s="244"/>
    </row>
    <row r="222" spans="2:3" ht="15.75" customHeight="1">
      <c r="B222" s="244"/>
      <c r="C222" s="244"/>
    </row>
    <row r="223" spans="2:3" ht="15.75" customHeight="1">
      <c r="B223" s="244"/>
      <c r="C223" s="244"/>
    </row>
    <row r="224" spans="2:3" ht="15.75" customHeight="1">
      <c r="B224" s="244"/>
      <c r="C224" s="244"/>
    </row>
    <row r="225" spans="2:3" ht="15.75" customHeight="1">
      <c r="B225" s="244"/>
      <c r="C225" s="244"/>
    </row>
    <row r="226" spans="2:3" ht="15.75" customHeight="1">
      <c r="B226" s="244"/>
      <c r="C226" s="244"/>
    </row>
    <row r="227" spans="2:3" ht="15.75" customHeight="1">
      <c r="B227" s="244"/>
      <c r="C227" s="244"/>
    </row>
    <row r="228" spans="2:3" ht="15.75" customHeight="1">
      <c r="B228" s="244"/>
      <c r="C228" s="244"/>
    </row>
    <row r="229" spans="2:3" ht="15.75" customHeight="1">
      <c r="B229" s="244"/>
      <c r="C229" s="244"/>
    </row>
    <row r="230" spans="2:3" ht="15.75" customHeight="1">
      <c r="B230" s="244"/>
      <c r="C230" s="244"/>
    </row>
    <row r="231" spans="2:3" ht="15.75" customHeight="1">
      <c r="B231" s="244"/>
      <c r="C231" s="244"/>
    </row>
    <row r="232" spans="2:3" ht="15.75" customHeight="1">
      <c r="B232" s="244"/>
      <c r="C232" s="244"/>
    </row>
    <row r="233" spans="2:3" ht="15.75" customHeight="1">
      <c r="B233" s="244"/>
      <c r="C233" s="244"/>
    </row>
    <row r="234" spans="2:3" ht="15.75" customHeight="1">
      <c r="B234" s="244"/>
      <c r="C234" s="244"/>
    </row>
    <row r="235" spans="2:3" ht="15.75" customHeight="1">
      <c r="B235" s="244"/>
      <c r="C235" s="244"/>
    </row>
    <row r="236" spans="2:3" ht="15.75" customHeight="1">
      <c r="B236" s="244"/>
      <c r="C236" s="244"/>
    </row>
    <row r="237" spans="2:3" ht="15.75" customHeight="1">
      <c r="B237" s="244"/>
      <c r="C237" s="244"/>
    </row>
    <row r="238" spans="2:3" ht="15.75" customHeight="1">
      <c r="B238" s="244"/>
      <c r="C238" s="244"/>
    </row>
    <row r="239" spans="2:3" ht="15.75" customHeight="1">
      <c r="B239" s="244"/>
      <c r="C239" s="244"/>
    </row>
    <row r="240" spans="2:3" ht="15.75" customHeight="1">
      <c r="B240" s="244"/>
      <c r="C240" s="244"/>
    </row>
    <row r="241" spans="2:3" ht="15.75" customHeight="1">
      <c r="B241" s="244"/>
      <c r="C241" s="244"/>
    </row>
    <row r="242" spans="2:3" ht="15.75" customHeight="1">
      <c r="B242" s="244"/>
      <c r="C242" s="244"/>
    </row>
    <row r="243" spans="2:3" ht="15.75" customHeight="1">
      <c r="B243" s="244"/>
      <c r="C243" s="244"/>
    </row>
    <row r="244" spans="2:3" ht="15.75" customHeight="1">
      <c r="B244" s="244"/>
      <c r="C244" s="244"/>
    </row>
    <row r="245" spans="2:3" ht="15.75" customHeight="1">
      <c r="B245" s="244"/>
      <c r="C245" s="244"/>
    </row>
    <row r="246" spans="2:3" ht="15.75" customHeight="1">
      <c r="B246" s="244"/>
      <c r="C246" s="244"/>
    </row>
    <row r="247" spans="2:3" ht="15.75" customHeight="1">
      <c r="B247" s="244"/>
      <c r="C247" s="244"/>
    </row>
    <row r="248" spans="2:3" ht="15.75" customHeight="1">
      <c r="B248" s="244"/>
      <c r="C248" s="244"/>
    </row>
    <row r="249" spans="2:3" ht="15.75" customHeight="1">
      <c r="B249" s="244"/>
      <c r="C249" s="244"/>
    </row>
    <row r="250" spans="2:3" ht="15.75" customHeight="1">
      <c r="B250" s="244"/>
      <c r="C250" s="244"/>
    </row>
    <row r="251" spans="2:3" ht="15.75" customHeight="1">
      <c r="B251" s="244"/>
      <c r="C251" s="244"/>
    </row>
    <row r="252" spans="2:3" ht="15.75" customHeight="1">
      <c r="B252" s="244"/>
      <c r="C252" s="244"/>
    </row>
    <row r="253" spans="2:3" ht="15.75" customHeight="1">
      <c r="B253" s="244"/>
      <c r="C253" s="244"/>
    </row>
    <row r="254" spans="2:3" ht="15.75" customHeight="1">
      <c r="B254" s="244"/>
      <c r="C254" s="244"/>
    </row>
    <row r="255" spans="2:3" ht="15.75" customHeight="1">
      <c r="B255" s="244"/>
      <c r="C255" s="244"/>
    </row>
    <row r="256" spans="2:3" ht="15.75" customHeight="1">
      <c r="B256" s="244"/>
      <c r="C256" s="244"/>
    </row>
    <row r="257" spans="2:3" ht="15.75" customHeight="1">
      <c r="B257" s="244"/>
      <c r="C257" s="244"/>
    </row>
    <row r="258" spans="2:3" ht="15.75" customHeight="1">
      <c r="B258" s="244"/>
      <c r="C258" s="244"/>
    </row>
    <row r="259" spans="2:3" ht="15.75" customHeight="1">
      <c r="B259" s="244"/>
      <c r="C259" s="244"/>
    </row>
    <row r="260" spans="2:3" ht="15.75" customHeight="1">
      <c r="B260" s="244"/>
      <c r="C260" s="244"/>
    </row>
    <row r="261" spans="2:3" ht="15.75" customHeight="1">
      <c r="B261" s="244"/>
      <c r="C261" s="244"/>
    </row>
    <row r="262" spans="2:3" ht="15.75" customHeight="1">
      <c r="B262" s="244"/>
      <c r="C262" s="244"/>
    </row>
    <row r="263" spans="2:3" ht="15.75" customHeight="1">
      <c r="B263" s="244"/>
      <c r="C263" s="244"/>
    </row>
    <row r="264" spans="2:3" ht="15.75" customHeight="1">
      <c r="B264" s="244"/>
      <c r="C264" s="244"/>
    </row>
    <row r="265" spans="2:3" ht="15.75" customHeight="1">
      <c r="B265" s="244"/>
      <c r="C265" s="244"/>
    </row>
    <row r="266" spans="2:3" ht="15.75" customHeight="1">
      <c r="B266" s="244"/>
      <c r="C266" s="244"/>
    </row>
    <row r="267" spans="2:3" ht="15.75" customHeight="1">
      <c r="B267" s="244"/>
      <c r="C267" s="244"/>
    </row>
    <row r="268" spans="2:3" ht="15.75" customHeight="1">
      <c r="B268" s="244"/>
      <c r="C268" s="244"/>
    </row>
    <row r="269" spans="2:3" ht="15.75" customHeight="1">
      <c r="B269" s="244"/>
      <c r="C269" s="244"/>
    </row>
    <row r="270" spans="2:3" ht="15.75" customHeight="1">
      <c r="B270" s="244"/>
      <c r="C270" s="244"/>
    </row>
    <row r="271" spans="2:3" ht="15.75" customHeight="1">
      <c r="B271" s="244"/>
      <c r="C271" s="244"/>
    </row>
    <row r="272" spans="2:3" ht="15.75" customHeight="1">
      <c r="B272" s="244"/>
      <c r="C272" s="244"/>
    </row>
    <row r="273" spans="2:3" ht="15.75" customHeight="1">
      <c r="B273" s="244"/>
      <c r="C273" s="244"/>
    </row>
    <row r="274" spans="2:3" ht="15.75" customHeight="1">
      <c r="B274" s="244"/>
      <c r="C274" s="244"/>
    </row>
    <row r="275" spans="2:3" ht="15.75" customHeight="1">
      <c r="B275" s="244"/>
      <c r="C275" s="244"/>
    </row>
    <row r="276" spans="2:3" ht="15.75" customHeight="1">
      <c r="B276" s="244"/>
      <c r="C276" s="244"/>
    </row>
    <row r="277" spans="2:3" ht="15.75" customHeight="1">
      <c r="B277" s="244"/>
      <c r="C277" s="244"/>
    </row>
    <row r="278" spans="2:3" ht="15.75" customHeight="1">
      <c r="B278" s="244"/>
      <c r="C278" s="244"/>
    </row>
    <row r="279" spans="2:3" ht="15.75" customHeight="1">
      <c r="B279" s="244"/>
      <c r="C279" s="244"/>
    </row>
    <row r="280" spans="2:3" ht="15.75" customHeight="1">
      <c r="B280" s="244"/>
      <c r="C280" s="244"/>
    </row>
    <row r="281" spans="2:3" ht="15.75" customHeight="1">
      <c r="B281" s="244"/>
      <c r="C281" s="244"/>
    </row>
    <row r="282" spans="2:3" ht="15.75" customHeight="1">
      <c r="B282" s="244"/>
      <c r="C282" s="244"/>
    </row>
    <row r="283" spans="2:3" ht="15.75" customHeight="1">
      <c r="B283" s="244"/>
      <c r="C283" s="244"/>
    </row>
    <row r="284" spans="2:3" ht="15.75" customHeight="1">
      <c r="B284" s="244"/>
      <c r="C284" s="244"/>
    </row>
    <row r="285" spans="2:3" ht="15.75" customHeight="1">
      <c r="B285" s="244"/>
      <c r="C285" s="244"/>
    </row>
    <row r="286" spans="2:3" ht="15.75" customHeight="1">
      <c r="B286" s="244"/>
      <c r="C286" s="244"/>
    </row>
    <row r="287" spans="2:3" ht="15.75" customHeight="1">
      <c r="B287" s="244"/>
      <c r="C287" s="244"/>
    </row>
    <row r="288" spans="2:3" ht="15.75" customHeight="1">
      <c r="B288" s="244"/>
      <c r="C288" s="244"/>
    </row>
    <row r="289" spans="2:3" ht="15.75" customHeight="1">
      <c r="B289" s="244"/>
      <c r="C289" s="244"/>
    </row>
    <row r="290" spans="2:3" ht="15.75" customHeight="1">
      <c r="B290" s="244"/>
      <c r="C290" s="244"/>
    </row>
    <row r="291" spans="2:3" ht="15.75" customHeight="1">
      <c r="B291" s="244"/>
      <c r="C291" s="244"/>
    </row>
    <row r="292" spans="2:3" ht="15.75" customHeight="1">
      <c r="B292" s="244"/>
      <c r="C292" s="244"/>
    </row>
    <row r="293" spans="2:3" ht="15.75" customHeight="1">
      <c r="B293" s="244"/>
      <c r="C293" s="244"/>
    </row>
    <row r="294" spans="2:3" ht="15.75" customHeight="1">
      <c r="B294" s="244"/>
      <c r="C294" s="244"/>
    </row>
    <row r="295" spans="2:3" ht="15.75" customHeight="1">
      <c r="B295" s="244"/>
      <c r="C295" s="244"/>
    </row>
    <row r="296" spans="2:3" ht="15.75" customHeight="1">
      <c r="B296" s="244"/>
      <c r="C296" s="244"/>
    </row>
    <row r="297" spans="2:3" ht="15.75" customHeight="1">
      <c r="B297" s="244"/>
      <c r="C297" s="244"/>
    </row>
    <row r="298" spans="2:3" ht="15.75" customHeight="1">
      <c r="B298" s="244"/>
      <c r="C298" s="244"/>
    </row>
    <row r="299" spans="2:3" ht="15.75" customHeight="1">
      <c r="B299" s="244"/>
      <c r="C299" s="244"/>
    </row>
    <row r="300" spans="2:3" ht="15.75" customHeight="1">
      <c r="B300" s="244"/>
      <c r="C300" s="244"/>
    </row>
    <row r="301" spans="2:3" ht="15.75" customHeight="1">
      <c r="B301" s="244"/>
      <c r="C301" s="244"/>
    </row>
    <row r="302" spans="2:3" ht="15.75" customHeight="1">
      <c r="B302" s="244"/>
      <c r="C302" s="244"/>
    </row>
    <row r="303" spans="2:3" ht="15.75" customHeight="1">
      <c r="B303" s="244"/>
      <c r="C303" s="244"/>
    </row>
    <row r="304" spans="2:3" ht="15.75" customHeight="1">
      <c r="B304" s="244"/>
      <c r="C304" s="244"/>
    </row>
    <row r="305" spans="2:3" ht="15.75" customHeight="1">
      <c r="B305" s="244"/>
      <c r="C305" s="244"/>
    </row>
    <row r="306" spans="2:3" ht="15.75" customHeight="1">
      <c r="B306" s="244"/>
      <c r="C306" s="244"/>
    </row>
    <row r="307" spans="2:3" ht="15.75" customHeight="1">
      <c r="B307" s="244"/>
      <c r="C307" s="244"/>
    </row>
    <row r="308" spans="2:3" ht="15.75" customHeight="1">
      <c r="B308" s="244"/>
      <c r="C308" s="244"/>
    </row>
    <row r="309" spans="2:3" ht="15.75" customHeight="1">
      <c r="B309" s="244"/>
      <c r="C309" s="244"/>
    </row>
    <row r="310" spans="2:3" ht="15.75" customHeight="1">
      <c r="B310" s="244"/>
      <c r="C310" s="244"/>
    </row>
    <row r="311" spans="2:3" ht="15.75" customHeight="1">
      <c r="B311" s="244"/>
      <c r="C311" s="244"/>
    </row>
    <row r="312" spans="2:3" ht="15.75" customHeight="1">
      <c r="B312" s="244"/>
      <c r="C312" s="244"/>
    </row>
    <row r="313" spans="2:3" ht="15.75" customHeight="1">
      <c r="B313" s="244"/>
      <c r="C313" s="244"/>
    </row>
    <row r="314" spans="2:3" ht="15.75" customHeight="1">
      <c r="B314" s="244"/>
      <c r="C314" s="244"/>
    </row>
    <row r="315" spans="2:3" ht="15.75" customHeight="1">
      <c r="B315" s="244"/>
      <c r="C315" s="244"/>
    </row>
    <row r="316" spans="2:3" ht="15.75" customHeight="1">
      <c r="B316" s="244"/>
      <c r="C316" s="244"/>
    </row>
    <row r="317" spans="2:3" ht="15.75" customHeight="1">
      <c r="B317" s="244"/>
      <c r="C317" s="244"/>
    </row>
    <row r="318" spans="2:3" ht="15.75" customHeight="1">
      <c r="B318" s="244"/>
      <c r="C318" s="244"/>
    </row>
    <row r="319" spans="2:3" ht="15.75" customHeight="1">
      <c r="B319" s="244"/>
      <c r="C319" s="244"/>
    </row>
    <row r="320" spans="2:3" ht="15.75" customHeight="1">
      <c r="B320" s="244"/>
      <c r="C320" s="244"/>
    </row>
    <row r="321" spans="2:3" ht="15.75" customHeight="1">
      <c r="B321" s="244"/>
      <c r="C321" s="244"/>
    </row>
    <row r="322" spans="2:3" ht="15.75" customHeight="1">
      <c r="B322" s="244"/>
      <c r="C322" s="244"/>
    </row>
    <row r="323" spans="2:3" ht="15.75" customHeight="1">
      <c r="B323" s="244"/>
      <c r="C323" s="244"/>
    </row>
    <row r="324" spans="2:3" ht="15.75" customHeight="1">
      <c r="B324" s="244"/>
      <c r="C324" s="244"/>
    </row>
    <row r="325" spans="2:3" ht="15.75" customHeight="1">
      <c r="B325" s="244"/>
      <c r="C325" s="244"/>
    </row>
    <row r="326" spans="2:3" ht="15.75" customHeight="1">
      <c r="B326" s="244"/>
      <c r="C326" s="244"/>
    </row>
    <row r="327" spans="2:3" ht="15.75" customHeight="1">
      <c r="B327" s="244"/>
      <c r="C327" s="244"/>
    </row>
    <row r="328" spans="2:3" ht="15.75" customHeight="1">
      <c r="B328" s="244"/>
      <c r="C328" s="244"/>
    </row>
    <row r="329" spans="2:3" ht="15.75" customHeight="1">
      <c r="B329" s="244"/>
      <c r="C329" s="244"/>
    </row>
    <row r="330" spans="2:3" ht="15.75" customHeight="1">
      <c r="B330" s="244"/>
      <c r="C330" s="244"/>
    </row>
    <row r="331" spans="2:3" ht="15.75" customHeight="1">
      <c r="B331" s="244"/>
      <c r="C331" s="244"/>
    </row>
    <row r="332" spans="2:3" ht="15.75" customHeight="1">
      <c r="B332" s="244"/>
      <c r="C332" s="244"/>
    </row>
    <row r="333" spans="2:3" ht="15.75" customHeight="1">
      <c r="B333" s="244"/>
      <c r="C333" s="244"/>
    </row>
    <row r="334" spans="2:3" ht="15.75" customHeight="1">
      <c r="B334" s="244"/>
      <c r="C334" s="244"/>
    </row>
    <row r="335" spans="2:3" ht="15.75" customHeight="1">
      <c r="B335" s="244"/>
      <c r="C335" s="244"/>
    </row>
    <row r="336" spans="2:3" ht="15.75" customHeight="1">
      <c r="B336" s="244"/>
      <c r="C336" s="244"/>
    </row>
    <row r="337" spans="2:3" ht="15.75" customHeight="1">
      <c r="B337" s="244"/>
      <c r="C337" s="244"/>
    </row>
    <row r="338" spans="2:3" ht="15.75" customHeight="1">
      <c r="B338" s="244"/>
      <c r="C338" s="244"/>
    </row>
    <row r="339" spans="2:3" ht="15.75" customHeight="1">
      <c r="B339" s="244"/>
      <c r="C339" s="244"/>
    </row>
    <row r="340" spans="2:3" ht="15.75" customHeight="1">
      <c r="B340" s="244"/>
      <c r="C340" s="244"/>
    </row>
    <row r="341" spans="2:3" ht="15.75" customHeight="1">
      <c r="B341" s="244"/>
      <c r="C341" s="244"/>
    </row>
    <row r="342" spans="2:3" ht="15.75" customHeight="1">
      <c r="B342" s="244"/>
      <c r="C342" s="244"/>
    </row>
    <row r="343" spans="2:3" ht="15.75" customHeight="1">
      <c r="B343" s="244"/>
      <c r="C343" s="244"/>
    </row>
    <row r="344" spans="2:3" ht="15.75" customHeight="1">
      <c r="B344" s="244"/>
      <c r="C344" s="244"/>
    </row>
    <row r="345" spans="2:3" ht="15.75" customHeight="1">
      <c r="B345" s="244"/>
      <c r="C345" s="244"/>
    </row>
    <row r="346" spans="2:3" ht="15.75" customHeight="1">
      <c r="B346" s="244"/>
      <c r="C346" s="244"/>
    </row>
    <row r="347" spans="2:3" ht="15.75" customHeight="1">
      <c r="B347" s="244"/>
      <c r="C347" s="244"/>
    </row>
    <row r="348" spans="2:3" ht="15.75" customHeight="1">
      <c r="B348" s="244"/>
      <c r="C348" s="244"/>
    </row>
    <row r="349" spans="2:3" ht="15.75" customHeight="1">
      <c r="B349" s="244"/>
      <c r="C349" s="244"/>
    </row>
    <row r="350" spans="2:3" ht="15.75" customHeight="1">
      <c r="B350" s="244"/>
      <c r="C350" s="244"/>
    </row>
    <row r="351" spans="2:3" ht="15.75" customHeight="1">
      <c r="B351" s="244"/>
      <c r="C351" s="244"/>
    </row>
    <row r="352" spans="2:3" ht="15.75" customHeight="1">
      <c r="B352" s="244"/>
      <c r="C352" s="244"/>
    </row>
    <row r="353" spans="2:3" ht="15.75" customHeight="1">
      <c r="B353" s="244"/>
      <c r="C353" s="244"/>
    </row>
    <row r="354" spans="2:3" ht="15.75" customHeight="1">
      <c r="B354" s="244"/>
      <c r="C354" s="244"/>
    </row>
    <row r="355" spans="2:3" ht="15.75" customHeight="1">
      <c r="B355" s="244"/>
      <c r="C355" s="244"/>
    </row>
    <row r="356" spans="2:3" ht="15.75" customHeight="1">
      <c r="B356" s="244"/>
      <c r="C356" s="244"/>
    </row>
    <row r="357" spans="2:3" ht="15.75" customHeight="1">
      <c r="B357" s="244"/>
      <c r="C357" s="244"/>
    </row>
    <row r="358" spans="2:3" ht="15.75" customHeight="1">
      <c r="B358" s="244"/>
      <c r="C358" s="244"/>
    </row>
    <row r="359" spans="2:3" ht="15.75" customHeight="1">
      <c r="B359" s="244"/>
      <c r="C359" s="244"/>
    </row>
    <row r="360" spans="2:3" ht="15.75" customHeight="1">
      <c r="B360" s="244"/>
      <c r="C360" s="244"/>
    </row>
    <row r="361" spans="2:3" ht="15.75" customHeight="1">
      <c r="B361" s="244"/>
      <c r="C361" s="244"/>
    </row>
    <row r="362" spans="2:3" ht="15.75" customHeight="1">
      <c r="B362" s="244"/>
      <c r="C362" s="244"/>
    </row>
    <row r="363" spans="2:3" ht="15.75" customHeight="1">
      <c r="B363" s="244"/>
      <c r="C363" s="244"/>
    </row>
    <row r="364" spans="2:3" ht="15.75" customHeight="1">
      <c r="B364" s="244"/>
      <c r="C364" s="244"/>
    </row>
    <row r="365" spans="2:3" ht="15.75" customHeight="1">
      <c r="B365" s="244"/>
      <c r="C365" s="244"/>
    </row>
    <row r="366" spans="2:3" ht="15.75" customHeight="1">
      <c r="B366" s="244"/>
      <c r="C366" s="244"/>
    </row>
    <row r="367" spans="2:3" ht="15.75" customHeight="1">
      <c r="B367" s="244"/>
      <c r="C367" s="244"/>
    </row>
    <row r="368" spans="2:3" ht="15.75" customHeight="1">
      <c r="B368" s="244"/>
      <c r="C368" s="244"/>
    </row>
    <row r="369" spans="2:3" ht="15.75" customHeight="1">
      <c r="B369" s="244"/>
      <c r="C369" s="244"/>
    </row>
    <row r="370" spans="2:3" ht="15.75" customHeight="1">
      <c r="B370" s="244"/>
      <c r="C370" s="244"/>
    </row>
    <row r="371" spans="2:3" ht="15.75" customHeight="1">
      <c r="B371" s="244"/>
      <c r="C371" s="244"/>
    </row>
    <row r="372" spans="2:3" ht="15.75" customHeight="1">
      <c r="B372" s="244"/>
      <c r="C372" s="244"/>
    </row>
    <row r="373" spans="2:3" ht="15.75" customHeight="1">
      <c r="B373" s="244"/>
      <c r="C373" s="244"/>
    </row>
    <row r="374" spans="2:3" ht="15.75" customHeight="1">
      <c r="B374" s="244"/>
      <c r="C374" s="244"/>
    </row>
    <row r="375" spans="2:3" ht="15.75" customHeight="1">
      <c r="B375" s="244"/>
      <c r="C375" s="244"/>
    </row>
    <row r="376" spans="2:3" ht="15.75" customHeight="1">
      <c r="B376" s="244"/>
      <c r="C376" s="244"/>
    </row>
    <row r="377" spans="2:3" ht="15.75" customHeight="1">
      <c r="B377" s="244"/>
      <c r="C377" s="244"/>
    </row>
    <row r="378" spans="2:3" ht="15.75" customHeight="1">
      <c r="B378" s="244"/>
      <c r="C378" s="244"/>
    </row>
    <row r="379" spans="2:3" ht="15.75" customHeight="1">
      <c r="B379" s="244"/>
      <c r="C379" s="244"/>
    </row>
    <row r="380" spans="2:3" ht="15.75" customHeight="1">
      <c r="B380" s="244"/>
      <c r="C380" s="244"/>
    </row>
    <row r="381" spans="2:3" ht="15.75" customHeight="1">
      <c r="B381" s="244"/>
      <c r="C381" s="244"/>
    </row>
    <row r="382" spans="2:3" ht="15.75" customHeight="1">
      <c r="B382" s="244"/>
      <c r="C382" s="244"/>
    </row>
    <row r="383" spans="2:3" ht="15.75" customHeight="1">
      <c r="B383" s="244"/>
      <c r="C383" s="244"/>
    </row>
    <row r="384" spans="2:3" ht="15.75" customHeight="1">
      <c r="B384" s="244"/>
      <c r="C384" s="244"/>
    </row>
    <row r="385" spans="2:3" ht="15.75" customHeight="1">
      <c r="B385" s="244"/>
      <c r="C385" s="244"/>
    </row>
    <row r="386" spans="2:3" ht="15.75" customHeight="1">
      <c r="B386" s="244"/>
      <c r="C386" s="244"/>
    </row>
    <row r="387" spans="2:3" ht="15.75" customHeight="1">
      <c r="B387" s="244"/>
      <c r="C387" s="244"/>
    </row>
    <row r="388" spans="2:3" ht="15.75" customHeight="1">
      <c r="B388" s="244"/>
      <c r="C388" s="244"/>
    </row>
    <row r="389" spans="2:3" ht="15.75" customHeight="1">
      <c r="B389" s="244"/>
      <c r="C389" s="244"/>
    </row>
    <row r="390" spans="2:3" ht="15.75" customHeight="1">
      <c r="B390" s="244"/>
      <c r="C390" s="244"/>
    </row>
    <row r="391" spans="2:3" ht="15.75" customHeight="1">
      <c r="B391" s="244"/>
      <c r="C391" s="244"/>
    </row>
    <row r="392" spans="2:3" ht="15.75" customHeight="1">
      <c r="B392" s="244"/>
      <c r="C392" s="244"/>
    </row>
    <row r="393" spans="2:3" ht="15.75" customHeight="1">
      <c r="B393" s="244"/>
      <c r="C393" s="244"/>
    </row>
    <row r="394" spans="2:3" ht="15.75" customHeight="1">
      <c r="B394" s="244"/>
      <c r="C394" s="244"/>
    </row>
    <row r="395" spans="2:3" ht="15.75" customHeight="1">
      <c r="B395" s="244"/>
      <c r="C395" s="244"/>
    </row>
    <row r="396" spans="2:3" ht="15.75" customHeight="1">
      <c r="B396" s="244"/>
      <c r="C396" s="244"/>
    </row>
    <row r="397" spans="2:3" ht="15.75" customHeight="1">
      <c r="B397" s="244"/>
      <c r="C397" s="244"/>
    </row>
    <row r="398" spans="2:3" ht="15.75" customHeight="1">
      <c r="B398" s="244"/>
      <c r="C398" s="244"/>
    </row>
    <row r="399" spans="2:3" ht="15.75" customHeight="1">
      <c r="B399" s="244"/>
      <c r="C399" s="244"/>
    </row>
    <row r="400" spans="2:3" ht="15.75" customHeight="1">
      <c r="B400" s="244"/>
      <c r="C400" s="244"/>
    </row>
    <row r="401" spans="2:3" ht="15.75" customHeight="1">
      <c r="B401" s="244"/>
      <c r="C401" s="244"/>
    </row>
    <row r="402" spans="2:3" ht="15.75" customHeight="1">
      <c r="B402" s="244"/>
      <c r="C402" s="244"/>
    </row>
    <row r="403" spans="2:3" ht="15.75" customHeight="1">
      <c r="B403" s="244"/>
      <c r="C403" s="244"/>
    </row>
    <row r="404" spans="2:3" ht="15.75" customHeight="1">
      <c r="B404" s="244"/>
      <c r="C404" s="244"/>
    </row>
    <row r="405" spans="2:3" ht="15.75" customHeight="1">
      <c r="B405" s="244"/>
      <c r="C405" s="244"/>
    </row>
    <row r="406" spans="2:3" ht="15.75" customHeight="1">
      <c r="B406" s="244"/>
      <c r="C406" s="244"/>
    </row>
    <row r="407" spans="2:3" ht="15.75" customHeight="1">
      <c r="B407" s="244"/>
      <c r="C407" s="244"/>
    </row>
    <row r="408" spans="2:3" ht="15.75" customHeight="1">
      <c r="B408" s="244"/>
      <c r="C408" s="244"/>
    </row>
    <row r="409" spans="2:3" ht="15.75" customHeight="1">
      <c r="B409" s="244"/>
      <c r="C409" s="244"/>
    </row>
    <row r="410" spans="2:3" ht="15.75" customHeight="1">
      <c r="B410" s="244"/>
      <c r="C410" s="244"/>
    </row>
    <row r="411" spans="2:3" ht="15.75" customHeight="1">
      <c r="B411" s="244"/>
      <c r="C411" s="244"/>
    </row>
    <row r="412" spans="2:3" ht="15.75" customHeight="1">
      <c r="B412" s="244"/>
      <c r="C412" s="244"/>
    </row>
    <row r="413" spans="2:3" ht="15.75" customHeight="1">
      <c r="B413" s="244"/>
      <c r="C413" s="244"/>
    </row>
    <row r="414" spans="2:3" ht="15.75" customHeight="1">
      <c r="B414" s="244"/>
      <c r="C414" s="244"/>
    </row>
    <row r="415" spans="2:3" ht="15.75" customHeight="1">
      <c r="B415" s="244"/>
      <c r="C415" s="244"/>
    </row>
    <row r="416" spans="2:3" ht="15.75" customHeight="1">
      <c r="B416" s="244"/>
      <c r="C416" s="244"/>
    </row>
    <row r="417" spans="2:3" ht="15.75" customHeight="1">
      <c r="B417" s="244"/>
      <c r="C417" s="244"/>
    </row>
    <row r="418" spans="2:3" ht="15.75" customHeight="1">
      <c r="B418" s="244"/>
      <c r="C418" s="244"/>
    </row>
    <row r="419" spans="2:3" ht="15.75" customHeight="1">
      <c r="B419" s="244"/>
      <c r="C419" s="244"/>
    </row>
    <row r="420" spans="2:3" ht="15.75" customHeight="1">
      <c r="B420" s="244"/>
      <c r="C420" s="244"/>
    </row>
    <row r="421" spans="2:3" ht="15.75" customHeight="1">
      <c r="B421" s="244"/>
      <c r="C421" s="244"/>
    </row>
    <row r="422" spans="2:3" ht="15.75" customHeight="1">
      <c r="B422" s="244"/>
      <c r="C422" s="244"/>
    </row>
    <row r="423" spans="2:3" ht="15.75" customHeight="1">
      <c r="B423" s="244"/>
      <c r="C423" s="244"/>
    </row>
    <row r="424" spans="2:3" ht="15.75" customHeight="1">
      <c r="B424" s="244"/>
      <c r="C424" s="244"/>
    </row>
    <row r="425" spans="2:3" ht="15.75" customHeight="1">
      <c r="B425" s="244"/>
      <c r="C425" s="244"/>
    </row>
    <row r="426" spans="2:3" ht="15.75" customHeight="1">
      <c r="B426" s="244"/>
      <c r="C426" s="244"/>
    </row>
    <row r="427" spans="2:3" ht="15.75" customHeight="1">
      <c r="B427" s="244"/>
      <c r="C427" s="244"/>
    </row>
    <row r="428" spans="2:3" ht="15.75" customHeight="1">
      <c r="B428" s="244"/>
      <c r="C428" s="244"/>
    </row>
    <row r="429" spans="2:3" ht="15.75" customHeight="1">
      <c r="B429" s="244"/>
      <c r="C429" s="244"/>
    </row>
    <row r="430" spans="2:3" ht="15.75" customHeight="1">
      <c r="B430" s="244"/>
      <c r="C430" s="244"/>
    </row>
    <row r="431" spans="2:3" ht="15.75" customHeight="1">
      <c r="B431" s="244"/>
      <c r="C431" s="244"/>
    </row>
    <row r="432" spans="2:3" ht="15.75" customHeight="1">
      <c r="B432" s="244"/>
      <c r="C432" s="244"/>
    </row>
    <row r="433" spans="2:3" ht="15.75" customHeight="1">
      <c r="B433" s="244"/>
      <c r="C433" s="244"/>
    </row>
    <row r="434" spans="2:3" ht="15.75" customHeight="1">
      <c r="B434" s="244"/>
      <c r="C434" s="244"/>
    </row>
    <row r="435" spans="2:3" ht="15.75" customHeight="1">
      <c r="B435" s="244"/>
      <c r="C435" s="244"/>
    </row>
    <row r="436" spans="2:3" ht="15.75" customHeight="1">
      <c r="B436" s="244"/>
      <c r="C436" s="244"/>
    </row>
    <row r="437" spans="2:3" ht="15.75" customHeight="1">
      <c r="B437" s="244"/>
      <c r="C437" s="244"/>
    </row>
    <row r="438" spans="2:3" ht="15.75" customHeight="1">
      <c r="B438" s="244"/>
      <c r="C438" s="244"/>
    </row>
    <row r="439" spans="2:3" ht="15.75" customHeight="1">
      <c r="B439" s="244"/>
      <c r="C439" s="244"/>
    </row>
    <row r="440" spans="2:3" ht="15.75" customHeight="1">
      <c r="B440" s="244"/>
      <c r="C440" s="244"/>
    </row>
    <row r="441" spans="2:3" ht="15.75" customHeight="1">
      <c r="B441" s="244"/>
      <c r="C441" s="244"/>
    </row>
    <row r="442" spans="2:3" ht="15.75" customHeight="1">
      <c r="B442" s="244"/>
      <c r="C442" s="244"/>
    </row>
    <row r="443" spans="2:3" ht="15.75" customHeight="1">
      <c r="B443" s="244"/>
      <c r="C443" s="244"/>
    </row>
    <row r="444" spans="2:3" ht="15.75" customHeight="1">
      <c r="B444" s="244"/>
      <c r="C444" s="244"/>
    </row>
    <row r="445" spans="2:3" ht="15.75" customHeight="1">
      <c r="B445" s="244"/>
      <c r="C445" s="244"/>
    </row>
    <row r="446" spans="2:3" ht="15.75" customHeight="1">
      <c r="B446" s="244"/>
      <c r="C446" s="244"/>
    </row>
    <row r="447" spans="2:3" ht="15.75" customHeight="1">
      <c r="B447" s="244"/>
      <c r="C447" s="244"/>
    </row>
    <row r="448" spans="2:3" ht="15.75" customHeight="1">
      <c r="B448" s="244"/>
      <c r="C448" s="244"/>
    </row>
    <row r="449" spans="2:3" ht="15.75" customHeight="1">
      <c r="B449" s="244"/>
      <c r="C449" s="244"/>
    </row>
    <row r="450" spans="2:3" ht="15.75" customHeight="1">
      <c r="B450" s="244"/>
      <c r="C450" s="244"/>
    </row>
    <row r="451" spans="2:3" ht="15.75" customHeight="1">
      <c r="B451" s="244"/>
      <c r="C451" s="244"/>
    </row>
    <row r="452" spans="2:3" ht="15.75" customHeight="1">
      <c r="B452" s="244"/>
      <c r="C452" s="244"/>
    </row>
    <row r="453" spans="2:3" ht="15.75" customHeight="1">
      <c r="B453" s="244"/>
      <c r="C453" s="244"/>
    </row>
    <row r="454" spans="2:3" ht="15.75" customHeight="1">
      <c r="B454" s="244"/>
      <c r="C454" s="244"/>
    </row>
    <row r="455" spans="2:3" ht="15.75" customHeight="1">
      <c r="B455" s="244"/>
      <c r="C455" s="244"/>
    </row>
    <row r="456" spans="2:3" ht="15.75" customHeight="1">
      <c r="B456" s="244"/>
      <c r="C456" s="244"/>
    </row>
    <row r="457" spans="2:3" ht="15.75" customHeight="1">
      <c r="B457" s="244"/>
      <c r="C457" s="244"/>
    </row>
    <row r="458" spans="2:3" ht="15.75" customHeight="1">
      <c r="B458" s="244"/>
      <c r="C458" s="244"/>
    </row>
    <row r="459" spans="2:3" ht="15.75" customHeight="1">
      <c r="B459" s="244"/>
      <c r="C459" s="244"/>
    </row>
    <row r="460" spans="2:3" ht="15.75" customHeight="1">
      <c r="B460" s="244"/>
      <c r="C460" s="244"/>
    </row>
    <row r="461" spans="2:3" ht="15.75" customHeight="1">
      <c r="B461" s="244"/>
      <c r="C461" s="244"/>
    </row>
    <row r="462" spans="2:3" ht="15.75" customHeight="1">
      <c r="B462" s="244"/>
      <c r="C462" s="244"/>
    </row>
    <row r="463" spans="2:3" ht="15.75" customHeight="1">
      <c r="B463" s="244"/>
      <c r="C463" s="244"/>
    </row>
    <row r="464" spans="2:3" ht="15.75" customHeight="1">
      <c r="B464" s="244"/>
      <c r="C464" s="244"/>
    </row>
    <row r="465" spans="2:3" ht="15.75" customHeight="1">
      <c r="B465" s="244"/>
      <c r="C465" s="244"/>
    </row>
    <row r="466" spans="2:3" ht="15.75" customHeight="1">
      <c r="B466" s="244"/>
      <c r="C466" s="244"/>
    </row>
    <row r="467" spans="2:3" ht="15.75" customHeight="1">
      <c r="B467" s="244"/>
      <c r="C467" s="244"/>
    </row>
    <row r="468" spans="2:3" ht="15.75" customHeight="1">
      <c r="B468" s="244"/>
      <c r="C468" s="244"/>
    </row>
    <row r="469" spans="2:3" ht="15.75" customHeight="1">
      <c r="B469" s="244"/>
      <c r="C469" s="244"/>
    </row>
    <row r="470" spans="2:3" ht="15.75" customHeight="1">
      <c r="B470" s="244"/>
      <c r="C470" s="244"/>
    </row>
    <row r="471" spans="2:3" ht="15.75" customHeight="1">
      <c r="B471" s="244"/>
      <c r="C471" s="244"/>
    </row>
    <row r="472" spans="2:3" ht="15.75" customHeight="1">
      <c r="B472" s="244"/>
      <c r="C472" s="244"/>
    </row>
    <row r="473" spans="2:3" ht="15.75" customHeight="1">
      <c r="B473" s="244"/>
      <c r="C473" s="244"/>
    </row>
    <row r="474" spans="2:3" ht="15.75" customHeight="1">
      <c r="B474" s="244"/>
      <c r="C474" s="244"/>
    </row>
    <row r="475" spans="2:3" ht="15.75" customHeight="1">
      <c r="B475" s="244"/>
      <c r="C475" s="244"/>
    </row>
    <row r="476" spans="2:3" ht="15.75" customHeight="1">
      <c r="B476" s="244"/>
      <c r="C476" s="244"/>
    </row>
    <row r="477" spans="2:3" ht="15.75" customHeight="1">
      <c r="B477" s="244"/>
      <c r="C477" s="244"/>
    </row>
    <row r="478" spans="2:3" ht="15.75" customHeight="1">
      <c r="B478" s="244"/>
      <c r="C478" s="244"/>
    </row>
    <row r="479" spans="2:3" ht="15.75" customHeight="1">
      <c r="B479" s="244"/>
      <c r="C479" s="244"/>
    </row>
    <row r="480" spans="2:3" ht="15.75" customHeight="1">
      <c r="B480" s="244"/>
      <c r="C480" s="244"/>
    </row>
    <row r="481" spans="2:3" ht="15.75" customHeight="1">
      <c r="B481" s="244"/>
      <c r="C481" s="244"/>
    </row>
    <row r="482" spans="2:3" ht="15.75" customHeight="1">
      <c r="B482" s="244"/>
      <c r="C482" s="244"/>
    </row>
    <row r="483" spans="2:3" ht="15.75" customHeight="1">
      <c r="B483" s="244"/>
      <c r="C483" s="244"/>
    </row>
    <row r="484" spans="2:3" ht="15.75" customHeight="1">
      <c r="B484" s="244"/>
      <c r="C484" s="244"/>
    </row>
    <row r="485" spans="2:3" ht="15.75" customHeight="1">
      <c r="B485" s="244"/>
      <c r="C485" s="244"/>
    </row>
    <row r="486" spans="2:3" ht="15.75" customHeight="1">
      <c r="B486" s="244"/>
      <c r="C486" s="244"/>
    </row>
    <row r="487" spans="2:3" ht="15.75" customHeight="1">
      <c r="B487" s="244"/>
      <c r="C487" s="244"/>
    </row>
    <row r="488" spans="2:3" ht="15.75" customHeight="1">
      <c r="B488" s="244"/>
      <c r="C488" s="244"/>
    </row>
    <row r="489" spans="2:3" ht="15.75" customHeight="1">
      <c r="B489" s="244"/>
      <c r="C489" s="244"/>
    </row>
    <row r="490" spans="2:3" ht="15.75" customHeight="1">
      <c r="B490" s="244"/>
      <c r="C490" s="244"/>
    </row>
    <row r="491" spans="2:3" ht="15.75" customHeight="1">
      <c r="B491" s="244"/>
      <c r="C491" s="244"/>
    </row>
    <row r="492" spans="2:3" ht="15.75" customHeight="1">
      <c r="B492" s="244"/>
      <c r="C492" s="244"/>
    </row>
    <row r="493" spans="2:3" ht="15.75" customHeight="1">
      <c r="B493" s="244"/>
      <c r="C493" s="244"/>
    </row>
    <row r="494" spans="2:3" ht="15.75" customHeight="1">
      <c r="B494" s="244"/>
      <c r="C494" s="244"/>
    </row>
    <row r="495" spans="2:3" ht="15.75" customHeight="1">
      <c r="B495" s="244"/>
      <c r="C495" s="244"/>
    </row>
    <row r="496" spans="2:3" ht="15.75" customHeight="1">
      <c r="B496" s="244"/>
      <c r="C496" s="244"/>
    </row>
    <row r="497" spans="2:3" ht="15.75" customHeight="1">
      <c r="B497" s="244"/>
      <c r="C497" s="244"/>
    </row>
    <row r="498" spans="2:3" ht="15.75" customHeight="1">
      <c r="B498" s="244"/>
      <c r="C498" s="244"/>
    </row>
    <row r="499" spans="2:3" ht="15.75" customHeight="1">
      <c r="B499" s="244"/>
      <c r="C499" s="244"/>
    </row>
    <row r="500" spans="2:3" ht="15.75" customHeight="1">
      <c r="B500" s="244"/>
      <c r="C500" s="244"/>
    </row>
    <row r="501" spans="2:3" ht="15.75" customHeight="1">
      <c r="B501" s="244"/>
      <c r="C501" s="244"/>
    </row>
    <row r="502" spans="2:3" ht="15.75" customHeight="1">
      <c r="B502" s="244"/>
      <c r="C502" s="244"/>
    </row>
    <row r="503" spans="2:3" ht="15.75" customHeight="1">
      <c r="B503" s="244"/>
      <c r="C503" s="244"/>
    </row>
    <row r="504" spans="2:3" ht="15.75" customHeight="1">
      <c r="B504" s="244"/>
      <c r="C504" s="244"/>
    </row>
    <row r="505" spans="2:3" ht="15.75" customHeight="1">
      <c r="B505" s="244"/>
      <c r="C505" s="244"/>
    </row>
    <row r="506" spans="2:3" ht="15.75" customHeight="1">
      <c r="B506" s="244"/>
      <c r="C506" s="244"/>
    </row>
    <row r="507" spans="2:3" ht="15.75" customHeight="1">
      <c r="B507" s="244"/>
      <c r="C507" s="244"/>
    </row>
    <row r="508" spans="2:3" ht="15.75" customHeight="1">
      <c r="B508" s="244"/>
      <c r="C508" s="244"/>
    </row>
    <row r="509" spans="2:3" ht="15.75" customHeight="1">
      <c r="B509" s="244"/>
      <c r="C509" s="244"/>
    </row>
    <row r="510" spans="2:3" ht="15.75" customHeight="1">
      <c r="B510" s="244"/>
      <c r="C510" s="244"/>
    </row>
    <row r="511" spans="2:3" ht="15.75" customHeight="1">
      <c r="B511" s="244"/>
      <c r="C511" s="244"/>
    </row>
    <row r="512" spans="2:3" ht="15.75" customHeight="1">
      <c r="B512" s="244"/>
      <c r="C512" s="244"/>
    </row>
    <row r="513" spans="2:3" ht="15.75" customHeight="1">
      <c r="B513" s="244"/>
      <c r="C513" s="244"/>
    </row>
    <row r="514" spans="2:3" ht="15.75" customHeight="1">
      <c r="B514" s="244"/>
      <c r="C514" s="244"/>
    </row>
    <row r="515" spans="2:3" ht="15.75" customHeight="1">
      <c r="B515" s="244"/>
      <c r="C515" s="244"/>
    </row>
    <row r="516" spans="2:3" ht="15.75" customHeight="1">
      <c r="B516" s="244"/>
      <c r="C516" s="244"/>
    </row>
    <row r="517" spans="2:3" ht="15.75" customHeight="1">
      <c r="B517" s="244"/>
      <c r="C517" s="244"/>
    </row>
    <row r="518" spans="2:3" ht="15.75" customHeight="1">
      <c r="B518" s="244"/>
      <c r="C518" s="244"/>
    </row>
    <row r="519" spans="2:3" ht="15.75" customHeight="1">
      <c r="B519" s="244"/>
      <c r="C519" s="244"/>
    </row>
    <row r="520" spans="2:3" ht="15.75" customHeight="1">
      <c r="B520" s="244"/>
      <c r="C520" s="244"/>
    </row>
    <row r="521" spans="2:3" ht="15.75" customHeight="1">
      <c r="B521" s="244"/>
      <c r="C521" s="244"/>
    </row>
    <row r="522" spans="2:3" ht="15.75" customHeight="1">
      <c r="B522" s="244"/>
      <c r="C522" s="244"/>
    </row>
    <row r="523" spans="2:3" ht="15.75" customHeight="1">
      <c r="B523" s="244"/>
      <c r="C523" s="244"/>
    </row>
    <row r="524" spans="2:3" ht="15.75" customHeight="1">
      <c r="B524" s="244"/>
      <c r="C524" s="244"/>
    </row>
    <row r="525" spans="2:3" ht="15.75" customHeight="1">
      <c r="B525" s="244"/>
      <c r="C525" s="244"/>
    </row>
    <row r="526" spans="2:3" ht="15.75" customHeight="1">
      <c r="B526" s="244"/>
      <c r="C526" s="244"/>
    </row>
    <row r="527" spans="2:3" ht="15.75" customHeight="1">
      <c r="B527" s="244"/>
      <c r="C527" s="244"/>
    </row>
    <row r="528" spans="2:3" ht="15.75" customHeight="1">
      <c r="B528" s="244"/>
      <c r="C528" s="244"/>
    </row>
    <row r="529" spans="2:3" ht="15.75" customHeight="1">
      <c r="B529" s="244"/>
      <c r="C529" s="244"/>
    </row>
    <row r="530" spans="2:3" ht="15.75" customHeight="1">
      <c r="B530" s="244"/>
      <c r="C530" s="244"/>
    </row>
    <row r="531" spans="2:3" ht="15.75" customHeight="1">
      <c r="B531" s="244"/>
      <c r="C531" s="244"/>
    </row>
    <row r="532" spans="2:3" ht="15.75" customHeight="1">
      <c r="B532" s="244"/>
      <c r="C532" s="244"/>
    </row>
    <row r="533" spans="2:3" ht="15.75" customHeight="1">
      <c r="B533" s="244"/>
      <c r="C533" s="244"/>
    </row>
    <row r="534" spans="2:3" ht="15.75" customHeight="1">
      <c r="B534" s="244"/>
      <c r="C534" s="244"/>
    </row>
    <row r="535" spans="2:3" ht="15.75" customHeight="1">
      <c r="B535" s="244"/>
      <c r="C535" s="244"/>
    </row>
    <row r="536" spans="2:3" ht="15.75" customHeight="1">
      <c r="B536" s="244"/>
      <c r="C536" s="244"/>
    </row>
    <row r="537" spans="2:3" ht="15.75" customHeight="1">
      <c r="B537" s="244"/>
      <c r="C537" s="244"/>
    </row>
    <row r="538" spans="2:3" ht="15.75" customHeight="1">
      <c r="B538" s="244"/>
      <c r="C538" s="244"/>
    </row>
    <row r="539" spans="2:3" ht="15.75" customHeight="1">
      <c r="B539" s="244"/>
      <c r="C539" s="244"/>
    </row>
    <row r="540" spans="2:3" ht="15.75" customHeight="1">
      <c r="B540" s="244"/>
      <c r="C540" s="244"/>
    </row>
    <row r="541" spans="2:3" ht="15.75" customHeight="1">
      <c r="B541" s="244"/>
      <c r="C541" s="244"/>
    </row>
    <row r="542" spans="2:3" ht="15.75" customHeight="1">
      <c r="B542" s="244"/>
      <c r="C542" s="244"/>
    </row>
    <row r="543" spans="2:3" ht="15.75" customHeight="1">
      <c r="B543" s="244"/>
      <c r="C543" s="244"/>
    </row>
    <row r="544" spans="2:3" ht="15.75" customHeight="1">
      <c r="B544" s="244"/>
      <c r="C544" s="244"/>
    </row>
    <row r="545" spans="2:3" ht="15.75" customHeight="1">
      <c r="B545" s="244"/>
      <c r="C545" s="244"/>
    </row>
    <row r="546" spans="2:3" ht="15.75" customHeight="1">
      <c r="B546" s="244"/>
      <c r="C546" s="244"/>
    </row>
    <row r="547" spans="2:3" ht="15.75" customHeight="1">
      <c r="B547" s="244"/>
      <c r="C547" s="244"/>
    </row>
    <row r="548" spans="2:3" ht="15.75" customHeight="1">
      <c r="B548" s="244"/>
      <c r="C548" s="244"/>
    </row>
    <row r="549" spans="2:3" ht="15.75" customHeight="1">
      <c r="B549" s="244"/>
      <c r="C549" s="244"/>
    </row>
    <row r="550" spans="2:3" ht="15.75" customHeight="1">
      <c r="B550" s="244"/>
      <c r="C550" s="244"/>
    </row>
    <row r="551" spans="2:3" ht="15.75" customHeight="1">
      <c r="B551" s="244"/>
      <c r="C551" s="244"/>
    </row>
    <row r="552" spans="2:3" ht="15.75" customHeight="1">
      <c r="B552" s="244"/>
      <c r="C552" s="244"/>
    </row>
    <row r="553" spans="2:3" ht="15.75" customHeight="1">
      <c r="B553" s="244"/>
      <c r="C553" s="244"/>
    </row>
    <row r="554" spans="2:3" ht="15.75" customHeight="1">
      <c r="B554" s="244"/>
      <c r="C554" s="244"/>
    </row>
    <row r="555" spans="2:3" ht="15.75" customHeight="1">
      <c r="B555" s="244"/>
      <c r="C555" s="244"/>
    </row>
    <row r="556" spans="2:3" ht="15.75" customHeight="1">
      <c r="B556" s="244"/>
      <c r="C556" s="244"/>
    </row>
    <row r="557" spans="2:3" ht="15.75" customHeight="1">
      <c r="B557" s="244"/>
      <c r="C557" s="244"/>
    </row>
    <row r="558" spans="2:3" ht="15.75" customHeight="1">
      <c r="B558" s="244"/>
      <c r="C558" s="244"/>
    </row>
    <row r="559" spans="2:3" ht="15.75" customHeight="1">
      <c r="B559" s="244"/>
      <c r="C559" s="244"/>
    </row>
    <row r="560" spans="2:3" ht="15.75" customHeight="1">
      <c r="B560" s="244"/>
      <c r="C560" s="244"/>
    </row>
    <row r="561" spans="2:3" ht="15.75" customHeight="1">
      <c r="B561" s="244"/>
      <c r="C561" s="244"/>
    </row>
    <row r="562" spans="2:3" ht="15.75" customHeight="1">
      <c r="B562" s="244"/>
      <c r="C562" s="244"/>
    </row>
    <row r="563" spans="2:3" ht="15.75" customHeight="1">
      <c r="B563" s="244"/>
      <c r="C563" s="244"/>
    </row>
    <row r="564" spans="2:3" ht="15.75" customHeight="1">
      <c r="B564" s="244"/>
      <c r="C564" s="244"/>
    </row>
    <row r="565" spans="2:3" ht="15.75" customHeight="1">
      <c r="B565" s="244"/>
      <c r="C565" s="244"/>
    </row>
    <row r="566" spans="2:3" ht="15.75" customHeight="1">
      <c r="B566" s="244"/>
      <c r="C566" s="244"/>
    </row>
    <row r="567" spans="2:3" ht="15.75" customHeight="1">
      <c r="B567" s="244"/>
      <c r="C567" s="244"/>
    </row>
    <row r="568" spans="2:3" ht="15.75" customHeight="1">
      <c r="B568" s="244"/>
      <c r="C568" s="244"/>
    </row>
    <row r="569" spans="2:3" ht="15.75" customHeight="1">
      <c r="B569" s="244"/>
      <c r="C569" s="244"/>
    </row>
    <row r="570" spans="2:3" ht="15.75" customHeight="1">
      <c r="B570" s="244"/>
      <c r="C570" s="244"/>
    </row>
    <row r="571" spans="2:3" ht="15.75" customHeight="1">
      <c r="B571" s="244"/>
      <c r="C571" s="244"/>
    </row>
    <row r="572" spans="2:3" ht="15.75" customHeight="1">
      <c r="B572" s="244"/>
      <c r="C572" s="244"/>
    </row>
    <row r="573" spans="2:3" ht="15.75" customHeight="1">
      <c r="B573" s="244"/>
      <c r="C573" s="244"/>
    </row>
    <row r="574" spans="2:3" ht="15.75" customHeight="1">
      <c r="B574" s="244"/>
      <c r="C574" s="244"/>
    </row>
    <row r="575" spans="2:3" ht="15.75" customHeight="1">
      <c r="B575" s="244"/>
      <c r="C575" s="244"/>
    </row>
    <row r="576" spans="2:3" ht="15.75" customHeight="1">
      <c r="B576" s="244"/>
      <c r="C576" s="244"/>
    </row>
    <row r="577" spans="2:3" ht="15.75" customHeight="1">
      <c r="B577" s="244"/>
      <c r="C577" s="244"/>
    </row>
    <row r="578" spans="2:3" ht="15.75" customHeight="1">
      <c r="B578" s="244"/>
      <c r="C578" s="244"/>
    </row>
    <row r="579" spans="2:3" ht="15.75" customHeight="1">
      <c r="B579" s="244"/>
      <c r="C579" s="244"/>
    </row>
    <row r="580" spans="2:3" ht="15.75" customHeight="1">
      <c r="B580" s="244"/>
      <c r="C580" s="244"/>
    </row>
    <row r="581" spans="2:3" ht="15.75" customHeight="1">
      <c r="B581" s="244"/>
      <c r="C581" s="244"/>
    </row>
    <row r="582" spans="2:3" ht="15.75" customHeight="1">
      <c r="B582" s="244"/>
      <c r="C582" s="244"/>
    </row>
    <row r="583" spans="2:3" ht="15.75" customHeight="1">
      <c r="B583" s="244"/>
      <c r="C583" s="244"/>
    </row>
    <row r="584" spans="2:3" ht="15.75" customHeight="1">
      <c r="B584" s="244"/>
      <c r="C584" s="244"/>
    </row>
    <row r="585" spans="2:3" ht="15.75" customHeight="1">
      <c r="B585" s="244"/>
      <c r="C585" s="244"/>
    </row>
    <row r="586" spans="2:3" ht="15.75" customHeight="1">
      <c r="B586" s="244"/>
      <c r="C586" s="244"/>
    </row>
    <row r="587" spans="2:3" ht="15.75" customHeight="1">
      <c r="B587" s="244"/>
      <c r="C587" s="244"/>
    </row>
    <row r="588" spans="2:3" ht="15.75" customHeight="1">
      <c r="B588" s="244"/>
      <c r="C588" s="244"/>
    </row>
    <row r="589" spans="2:3" ht="15.75" customHeight="1">
      <c r="B589" s="244"/>
      <c r="C589" s="244"/>
    </row>
    <row r="590" spans="2:3" ht="15.75" customHeight="1">
      <c r="B590" s="244"/>
      <c r="C590" s="244"/>
    </row>
    <row r="591" spans="2:3" ht="15.75" customHeight="1">
      <c r="B591" s="244"/>
      <c r="C591" s="244"/>
    </row>
    <row r="592" spans="2:3" ht="15.75" customHeight="1">
      <c r="B592" s="244"/>
      <c r="C592" s="244"/>
    </row>
    <row r="593" spans="2:3" ht="15.75" customHeight="1">
      <c r="B593" s="244"/>
      <c r="C593" s="244"/>
    </row>
    <row r="594" spans="2:3" ht="15.75" customHeight="1">
      <c r="B594" s="244"/>
      <c r="C594" s="244"/>
    </row>
    <row r="595" spans="2:3" ht="15.75" customHeight="1">
      <c r="B595" s="244"/>
      <c r="C595" s="244"/>
    </row>
    <row r="596" spans="2:3" ht="15.75" customHeight="1">
      <c r="B596" s="244"/>
      <c r="C596" s="244"/>
    </row>
    <row r="597" spans="2:3" ht="15.75" customHeight="1">
      <c r="B597" s="244"/>
      <c r="C597" s="244"/>
    </row>
    <row r="598" spans="2:3" ht="15.75" customHeight="1">
      <c r="B598" s="244"/>
      <c r="C598" s="244"/>
    </row>
    <row r="599" spans="2:3" ht="15.75" customHeight="1">
      <c r="B599" s="244"/>
      <c r="C599" s="244"/>
    </row>
    <row r="600" spans="2:3" ht="15.75" customHeight="1">
      <c r="B600" s="244"/>
      <c r="C600" s="244"/>
    </row>
    <row r="601" spans="2:3" ht="15.75" customHeight="1">
      <c r="B601" s="244"/>
      <c r="C601" s="244"/>
    </row>
    <row r="602" spans="2:3" ht="15.75" customHeight="1">
      <c r="B602" s="244"/>
      <c r="C602" s="244"/>
    </row>
    <row r="603" spans="2:3" ht="15.75" customHeight="1">
      <c r="B603" s="244"/>
      <c r="C603" s="244"/>
    </row>
    <row r="604" spans="2:3" ht="15.75" customHeight="1">
      <c r="B604" s="244"/>
      <c r="C604" s="244"/>
    </row>
    <row r="605" spans="2:3" ht="15.75" customHeight="1">
      <c r="B605" s="244"/>
      <c r="C605" s="244"/>
    </row>
    <row r="606" spans="2:3" ht="15.75" customHeight="1">
      <c r="B606" s="244"/>
      <c r="C606" s="244"/>
    </row>
    <row r="607" spans="2:3" ht="15.75" customHeight="1">
      <c r="B607" s="244"/>
      <c r="C607" s="244"/>
    </row>
    <row r="608" spans="2:3" ht="15.75" customHeight="1">
      <c r="B608" s="244"/>
      <c r="C608" s="244"/>
    </row>
    <row r="609" spans="2:3" ht="15.75" customHeight="1">
      <c r="B609" s="244"/>
      <c r="C609" s="244"/>
    </row>
    <row r="610" spans="2:3" ht="15.75" customHeight="1">
      <c r="B610" s="244"/>
      <c r="C610" s="244"/>
    </row>
    <row r="611" spans="2:3" ht="15.75" customHeight="1">
      <c r="B611" s="244"/>
      <c r="C611" s="244"/>
    </row>
    <row r="612" spans="2:3" ht="15.75" customHeight="1">
      <c r="B612" s="244"/>
      <c r="C612" s="244"/>
    </row>
    <row r="613" spans="2:3" ht="15.75" customHeight="1">
      <c r="B613" s="244"/>
      <c r="C613" s="244"/>
    </row>
    <row r="614" spans="2:3" ht="15.75" customHeight="1">
      <c r="B614" s="244"/>
      <c r="C614" s="244"/>
    </row>
    <row r="615" spans="2:3" ht="15.75" customHeight="1">
      <c r="B615" s="244"/>
      <c r="C615" s="244"/>
    </row>
    <row r="616" spans="2:3" ht="15.75" customHeight="1">
      <c r="B616" s="244"/>
      <c r="C616" s="244"/>
    </row>
    <row r="617" spans="2:3" ht="15.75" customHeight="1">
      <c r="B617" s="244"/>
      <c r="C617" s="244"/>
    </row>
    <row r="618" spans="2:3" ht="15.75" customHeight="1">
      <c r="B618" s="244"/>
      <c r="C618" s="244"/>
    </row>
    <row r="619" spans="2:3" ht="15.75" customHeight="1">
      <c r="B619" s="244"/>
      <c r="C619" s="244"/>
    </row>
    <row r="620" spans="2:3" ht="15.75" customHeight="1">
      <c r="B620" s="244"/>
      <c r="C620" s="244"/>
    </row>
    <row r="621" spans="2:3" ht="15.75" customHeight="1">
      <c r="B621" s="244"/>
      <c r="C621" s="244"/>
    </row>
    <row r="622" spans="2:3" ht="15.75" customHeight="1">
      <c r="B622" s="244"/>
      <c r="C622" s="244"/>
    </row>
    <row r="623" spans="2:3" ht="15.75" customHeight="1">
      <c r="B623" s="244"/>
      <c r="C623" s="244"/>
    </row>
    <row r="624" spans="2:3" ht="15.75" customHeight="1">
      <c r="B624" s="244"/>
      <c r="C624" s="244"/>
    </row>
    <row r="625" spans="2:3" ht="15.75" customHeight="1">
      <c r="B625" s="244"/>
      <c r="C625" s="244"/>
    </row>
    <row r="626" spans="2:3" ht="15.75" customHeight="1">
      <c r="B626" s="244"/>
      <c r="C626" s="244"/>
    </row>
    <row r="627" spans="2:3" ht="15.75" customHeight="1">
      <c r="B627" s="244"/>
      <c r="C627" s="244"/>
    </row>
    <row r="628" spans="2:3" ht="15.75" customHeight="1">
      <c r="B628" s="244"/>
      <c r="C628" s="244"/>
    </row>
    <row r="629" spans="2:3" ht="15.75" customHeight="1">
      <c r="B629" s="244"/>
      <c r="C629" s="244"/>
    </row>
    <row r="630" spans="2:3" ht="15.75" customHeight="1">
      <c r="B630" s="244"/>
      <c r="C630" s="244"/>
    </row>
    <row r="631" spans="2:3" ht="15.75" customHeight="1">
      <c r="B631" s="244"/>
      <c r="C631" s="244"/>
    </row>
    <row r="632" spans="2:3" ht="15.75" customHeight="1">
      <c r="B632" s="244"/>
      <c r="C632" s="244"/>
    </row>
    <row r="633" spans="2:3" ht="15.75" customHeight="1">
      <c r="B633" s="244"/>
      <c r="C633" s="244"/>
    </row>
    <row r="634" spans="2:3" ht="15.75" customHeight="1">
      <c r="B634" s="244"/>
      <c r="C634" s="244"/>
    </row>
    <row r="635" spans="2:3" ht="15.75" customHeight="1">
      <c r="B635" s="244"/>
      <c r="C635" s="244"/>
    </row>
    <row r="636" spans="2:3" ht="15.75" customHeight="1">
      <c r="B636" s="244"/>
      <c r="C636" s="244"/>
    </row>
    <row r="637" spans="2:3" ht="15.75" customHeight="1">
      <c r="B637" s="244"/>
      <c r="C637" s="244"/>
    </row>
    <row r="638" spans="2:3" ht="15.75" customHeight="1">
      <c r="B638" s="244"/>
      <c r="C638" s="244"/>
    </row>
    <row r="639" spans="2:3" ht="15.75" customHeight="1">
      <c r="B639" s="244"/>
      <c r="C639" s="244"/>
    </row>
    <row r="640" spans="2:3" ht="15.75" customHeight="1">
      <c r="B640" s="244"/>
      <c r="C640" s="244"/>
    </row>
    <row r="641" spans="2:3" ht="15.75" customHeight="1">
      <c r="B641" s="244"/>
      <c r="C641" s="244"/>
    </row>
    <row r="642" spans="2:3" ht="15.75" customHeight="1">
      <c r="B642" s="244"/>
      <c r="C642" s="244"/>
    </row>
    <row r="643" spans="2:3" ht="15.75" customHeight="1">
      <c r="B643" s="244"/>
      <c r="C643" s="244"/>
    </row>
    <row r="644" spans="2:3" ht="15.75" customHeight="1">
      <c r="B644" s="244"/>
      <c r="C644" s="244"/>
    </row>
    <row r="645" spans="2:3" ht="15.75" customHeight="1">
      <c r="B645" s="244"/>
      <c r="C645" s="244"/>
    </row>
    <row r="646" spans="2:3" ht="15.75" customHeight="1">
      <c r="B646" s="244"/>
      <c r="C646" s="244"/>
    </row>
    <row r="647" spans="2:3" ht="15.75" customHeight="1">
      <c r="B647" s="244"/>
      <c r="C647" s="244"/>
    </row>
    <row r="648" spans="2:3" ht="15.75" customHeight="1">
      <c r="B648" s="244"/>
      <c r="C648" s="244"/>
    </row>
    <row r="649" spans="2:3" ht="15.75" customHeight="1">
      <c r="B649" s="244"/>
      <c r="C649" s="244"/>
    </row>
    <row r="650" spans="2:3" ht="15.75" customHeight="1">
      <c r="B650" s="244"/>
      <c r="C650" s="244"/>
    </row>
    <row r="651" spans="2:3" ht="15.75" customHeight="1">
      <c r="B651" s="244"/>
      <c r="C651" s="244"/>
    </row>
    <row r="652" spans="2:3" ht="15.75" customHeight="1">
      <c r="B652" s="244"/>
      <c r="C652" s="244"/>
    </row>
    <row r="653" spans="2:3" ht="15.75" customHeight="1">
      <c r="B653" s="244"/>
      <c r="C653" s="244"/>
    </row>
    <row r="654" spans="2:3" ht="15.75" customHeight="1">
      <c r="B654" s="244"/>
      <c r="C654" s="244"/>
    </row>
    <row r="655" spans="2:3" ht="15.75" customHeight="1">
      <c r="B655" s="244"/>
      <c r="C655" s="244"/>
    </row>
    <row r="656" spans="2:3" ht="15.75" customHeight="1">
      <c r="B656" s="244"/>
      <c r="C656" s="244"/>
    </row>
    <row r="657" spans="2:3" ht="15.75" customHeight="1">
      <c r="B657" s="244"/>
      <c r="C657" s="244"/>
    </row>
    <row r="658" spans="2:3" ht="15.75" customHeight="1">
      <c r="B658" s="244"/>
      <c r="C658" s="244"/>
    </row>
    <row r="659" spans="2:3" ht="15.75" customHeight="1">
      <c r="B659" s="244"/>
      <c r="C659" s="244"/>
    </row>
    <row r="660" spans="2:3" ht="15.75" customHeight="1">
      <c r="B660" s="244"/>
      <c r="C660" s="244"/>
    </row>
    <row r="661" spans="2:3" ht="15.75" customHeight="1">
      <c r="B661" s="244"/>
      <c r="C661" s="244"/>
    </row>
    <row r="662" spans="2:3" ht="15.75" customHeight="1">
      <c r="B662" s="244"/>
      <c r="C662" s="244"/>
    </row>
    <row r="663" spans="2:3" ht="15.75" customHeight="1">
      <c r="B663" s="244"/>
      <c r="C663" s="244"/>
    </row>
    <row r="664" spans="2:3" ht="15.75" customHeight="1">
      <c r="B664" s="244"/>
      <c r="C664" s="244"/>
    </row>
    <row r="665" spans="2:3" ht="15.75" customHeight="1">
      <c r="B665" s="244"/>
      <c r="C665" s="244"/>
    </row>
    <row r="666" spans="2:3" ht="15.75" customHeight="1">
      <c r="B666" s="244"/>
      <c r="C666" s="244"/>
    </row>
    <row r="667" spans="2:3" ht="15.75" customHeight="1">
      <c r="B667" s="244"/>
      <c r="C667" s="244"/>
    </row>
    <row r="668" spans="2:3" ht="15.75" customHeight="1">
      <c r="B668" s="244"/>
      <c r="C668" s="244"/>
    </row>
    <row r="669" spans="2:3" ht="15.75" customHeight="1">
      <c r="B669" s="244"/>
      <c r="C669" s="244"/>
    </row>
    <row r="670" spans="2:3" ht="15.75" customHeight="1">
      <c r="B670" s="244"/>
      <c r="C670" s="244"/>
    </row>
    <row r="671" spans="2:3" ht="15.75" customHeight="1">
      <c r="B671" s="244"/>
      <c r="C671" s="244"/>
    </row>
    <row r="672" spans="2:3" ht="15.75" customHeight="1">
      <c r="B672" s="244"/>
      <c r="C672" s="244"/>
    </row>
    <row r="673" spans="2:3" ht="15.75" customHeight="1">
      <c r="B673" s="244"/>
      <c r="C673" s="244"/>
    </row>
    <row r="674" spans="2:3" ht="15.75" customHeight="1">
      <c r="B674" s="244"/>
      <c r="C674" s="244"/>
    </row>
    <row r="675" spans="2:3" ht="15.75" customHeight="1">
      <c r="B675" s="244"/>
      <c r="C675" s="244"/>
    </row>
    <row r="676" spans="2:3" ht="15.75" customHeight="1">
      <c r="B676" s="244"/>
      <c r="C676" s="244"/>
    </row>
    <row r="677" spans="2:3" ht="15.75" customHeight="1">
      <c r="B677" s="244"/>
      <c r="C677" s="244"/>
    </row>
    <row r="678" spans="2:3" ht="15.75" customHeight="1">
      <c r="B678" s="244"/>
      <c r="C678" s="244"/>
    </row>
    <row r="679" spans="2:3" ht="15.75" customHeight="1">
      <c r="B679" s="244"/>
      <c r="C679" s="244"/>
    </row>
    <row r="680" spans="2:3" ht="15.75" customHeight="1">
      <c r="B680" s="244"/>
      <c r="C680" s="244"/>
    </row>
    <row r="681" spans="2:3" ht="15.75" customHeight="1">
      <c r="B681" s="244"/>
      <c r="C681" s="244"/>
    </row>
    <row r="682" spans="2:3" ht="15.75" customHeight="1">
      <c r="B682" s="244"/>
      <c r="C682" s="244"/>
    </row>
    <row r="683" spans="2:3" ht="15.75" customHeight="1">
      <c r="B683" s="244"/>
      <c r="C683" s="244"/>
    </row>
    <row r="684" spans="2:3" ht="15.75" customHeight="1">
      <c r="B684" s="244"/>
      <c r="C684" s="244"/>
    </row>
    <row r="685" spans="2:3" ht="15.75" customHeight="1">
      <c r="B685" s="244"/>
      <c r="C685" s="244"/>
    </row>
    <row r="686" spans="2:3" ht="15.75" customHeight="1">
      <c r="B686" s="244"/>
      <c r="C686" s="244"/>
    </row>
    <row r="687" spans="2:3" ht="15.75" customHeight="1">
      <c r="B687" s="244"/>
      <c r="C687" s="244"/>
    </row>
    <row r="688" spans="2:3" ht="15.75" customHeight="1">
      <c r="B688" s="244"/>
      <c r="C688" s="244"/>
    </row>
    <row r="689" spans="2:3" ht="15.75" customHeight="1">
      <c r="B689" s="244"/>
      <c r="C689" s="244"/>
    </row>
    <row r="690" spans="2:3" ht="15.75" customHeight="1">
      <c r="B690" s="244"/>
      <c r="C690" s="244"/>
    </row>
    <row r="691" spans="2:3" ht="15.75" customHeight="1">
      <c r="B691" s="244"/>
      <c r="C691" s="244"/>
    </row>
    <row r="692" spans="2:3" ht="15.75" customHeight="1">
      <c r="B692" s="244"/>
      <c r="C692" s="244"/>
    </row>
    <row r="693" spans="2:3" ht="15.75" customHeight="1">
      <c r="B693" s="244"/>
      <c r="C693" s="244"/>
    </row>
    <row r="694" spans="2:3" ht="15.75" customHeight="1">
      <c r="B694" s="244"/>
      <c r="C694" s="244"/>
    </row>
    <row r="695" spans="2:3" ht="15.75" customHeight="1">
      <c r="B695" s="244"/>
      <c r="C695" s="244"/>
    </row>
    <row r="696" spans="2:3" ht="15.75" customHeight="1">
      <c r="B696" s="244"/>
      <c r="C696" s="244"/>
    </row>
    <row r="697" spans="2:3" ht="15.75" customHeight="1">
      <c r="B697" s="244"/>
      <c r="C697" s="244"/>
    </row>
    <row r="698" spans="2:3" ht="15.75" customHeight="1">
      <c r="B698" s="244"/>
      <c r="C698" s="244"/>
    </row>
    <row r="699" spans="2:3" ht="15.75" customHeight="1">
      <c r="B699" s="244"/>
      <c r="C699" s="244"/>
    </row>
    <row r="700" spans="2:3" ht="15.75" customHeight="1">
      <c r="B700" s="244"/>
      <c r="C700" s="244"/>
    </row>
    <row r="701" spans="2:3" ht="15.75" customHeight="1">
      <c r="B701" s="244"/>
      <c r="C701" s="244"/>
    </row>
    <row r="702" spans="2:3" ht="15.75" customHeight="1">
      <c r="B702" s="244"/>
      <c r="C702" s="244"/>
    </row>
    <row r="703" spans="2:3" ht="15.75" customHeight="1">
      <c r="B703" s="244"/>
      <c r="C703" s="244"/>
    </row>
    <row r="704" spans="2:3" ht="15.75" customHeight="1">
      <c r="B704" s="244"/>
      <c r="C704" s="244"/>
    </row>
    <row r="705" spans="2:3" ht="15.75" customHeight="1">
      <c r="B705" s="244"/>
      <c r="C705" s="244"/>
    </row>
    <row r="706" spans="2:3" ht="15.75" customHeight="1">
      <c r="B706" s="244"/>
      <c r="C706" s="244"/>
    </row>
    <row r="707" spans="2:3" ht="15.75" customHeight="1">
      <c r="B707" s="244"/>
      <c r="C707" s="244"/>
    </row>
    <row r="708" spans="2:3" ht="15.75" customHeight="1">
      <c r="B708" s="244"/>
      <c r="C708" s="244"/>
    </row>
    <row r="709" spans="2:3" ht="15.75" customHeight="1">
      <c r="B709" s="244"/>
      <c r="C709" s="244"/>
    </row>
    <row r="710" spans="2:3" ht="15.75" customHeight="1">
      <c r="B710" s="244"/>
      <c r="C710" s="244"/>
    </row>
    <row r="711" spans="2:3" ht="15.75" customHeight="1">
      <c r="B711" s="244"/>
      <c r="C711" s="244"/>
    </row>
    <row r="712" spans="2:3" ht="15.75" customHeight="1">
      <c r="B712" s="244"/>
      <c r="C712" s="244"/>
    </row>
    <row r="713" spans="2:3" ht="15.75" customHeight="1">
      <c r="B713" s="244"/>
      <c r="C713" s="244"/>
    </row>
    <row r="714" spans="2:3" ht="15.75" customHeight="1">
      <c r="B714" s="244"/>
      <c r="C714" s="244"/>
    </row>
    <row r="715" spans="2:3" ht="15.75" customHeight="1">
      <c r="B715" s="244"/>
      <c r="C715" s="244"/>
    </row>
    <row r="716" spans="2:3" ht="15.75" customHeight="1">
      <c r="B716" s="244"/>
      <c r="C716" s="244"/>
    </row>
    <row r="717" spans="2:3" ht="15.75" customHeight="1">
      <c r="B717" s="244"/>
      <c r="C717" s="244"/>
    </row>
    <row r="718" spans="2:3" ht="15.75" customHeight="1">
      <c r="B718" s="244"/>
      <c r="C718" s="244"/>
    </row>
    <row r="719" spans="2:3" ht="15.75" customHeight="1">
      <c r="B719" s="244"/>
      <c r="C719" s="244"/>
    </row>
    <row r="720" spans="2:3" ht="15.75" customHeight="1">
      <c r="B720" s="244"/>
      <c r="C720" s="244"/>
    </row>
    <row r="721" spans="2:3" ht="15.75" customHeight="1">
      <c r="B721" s="244"/>
      <c r="C721" s="244"/>
    </row>
    <row r="722" spans="2:3" ht="15.75" customHeight="1">
      <c r="B722" s="244"/>
      <c r="C722" s="244"/>
    </row>
    <row r="723" spans="2:3" ht="15.75" customHeight="1">
      <c r="B723" s="244"/>
      <c r="C723" s="244"/>
    </row>
    <row r="724" spans="2:3" ht="15.75" customHeight="1">
      <c r="B724" s="244"/>
      <c r="C724" s="244"/>
    </row>
    <row r="725" spans="2:3" ht="15.75" customHeight="1">
      <c r="B725" s="244"/>
      <c r="C725" s="244"/>
    </row>
    <row r="726" spans="2:3" ht="15.75" customHeight="1">
      <c r="B726" s="244"/>
      <c r="C726" s="244"/>
    </row>
    <row r="727" spans="2:3" ht="15.75" customHeight="1">
      <c r="B727" s="244"/>
      <c r="C727" s="244"/>
    </row>
    <row r="728" spans="2:3" ht="15.75" customHeight="1">
      <c r="B728" s="244"/>
      <c r="C728" s="244"/>
    </row>
    <row r="729" spans="2:3" ht="15.75" customHeight="1">
      <c r="B729" s="244"/>
      <c r="C729" s="244"/>
    </row>
    <row r="730" spans="2:3" ht="15.75" customHeight="1">
      <c r="B730" s="244"/>
      <c r="C730" s="244"/>
    </row>
    <row r="731" spans="2:3" ht="15.75" customHeight="1">
      <c r="B731" s="244"/>
      <c r="C731" s="244"/>
    </row>
    <row r="732" spans="2:3" ht="15.75" customHeight="1">
      <c r="B732" s="244"/>
      <c r="C732" s="244"/>
    </row>
    <row r="733" spans="2:3" ht="15.75" customHeight="1">
      <c r="B733" s="244"/>
      <c r="C733" s="244"/>
    </row>
    <row r="734" spans="2:3" ht="15.75" customHeight="1">
      <c r="B734" s="244"/>
      <c r="C734" s="244"/>
    </row>
    <row r="735" spans="2:3" ht="15.75" customHeight="1">
      <c r="B735" s="244"/>
      <c r="C735" s="244"/>
    </row>
    <row r="736" spans="2:3" ht="15.75" customHeight="1">
      <c r="B736" s="244"/>
      <c r="C736" s="244"/>
    </row>
    <row r="737" spans="2:3" ht="15.75" customHeight="1">
      <c r="B737" s="244"/>
      <c r="C737" s="244"/>
    </row>
    <row r="738" spans="2:3" ht="15.75" customHeight="1">
      <c r="B738" s="244"/>
      <c r="C738" s="244"/>
    </row>
    <row r="739" spans="2:3" ht="15.75" customHeight="1">
      <c r="B739" s="244"/>
      <c r="C739" s="244"/>
    </row>
    <row r="740" spans="2:3" ht="15.75" customHeight="1">
      <c r="B740" s="244"/>
      <c r="C740" s="244"/>
    </row>
    <row r="741" spans="2:3" ht="15.75" customHeight="1">
      <c r="B741" s="244"/>
      <c r="C741" s="244"/>
    </row>
    <row r="742" spans="2:3" ht="15.75" customHeight="1">
      <c r="B742" s="244"/>
      <c r="C742" s="244"/>
    </row>
    <row r="743" spans="2:3" ht="15.75" customHeight="1">
      <c r="B743" s="244"/>
      <c r="C743" s="244"/>
    </row>
    <row r="744" spans="2:3" ht="15.75" customHeight="1">
      <c r="B744" s="244"/>
      <c r="C744" s="244"/>
    </row>
    <row r="745" spans="2:3" ht="15.75" customHeight="1">
      <c r="B745" s="244"/>
      <c r="C745" s="244"/>
    </row>
    <row r="746" spans="2:3" ht="15.75" customHeight="1">
      <c r="B746" s="244"/>
      <c r="C746" s="244"/>
    </row>
    <row r="747" spans="2:3" ht="15.75" customHeight="1">
      <c r="B747" s="244"/>
      <c r="C747" s="244"/>
    </row>
    <row r="748" spans="2:3" ht="15.75" customHeight="1">
      <c r="B748" s="244"/>
      <c r="C748" s="244"/>
    </row>
    <row r="749" spans="2:3" ht="15.75" customHeight="1">
      <c r="B749" s="244"/>
      <c r="C749" s="244"/>
    </row>
    <row r="750" spans="2:3" ht="15.75" customHeight="1">
      <c r="B750" s="244"/>
      <c r="C750" s="244"/>
    </row>
    <row r="751" spans="2:3" ht="15.75" customHeight="1">
      <c r="B751" s="244"/>
      <c r="C751" s="244"/>
    </row>
    <row r="752" spans="2:3" ht="15.75" customHeight="1">
      <c r="B752" s="244"/>
      <c r="C752" s="244"/>
    </row>
    <row r="753" spans="2:3" ht="15.75" customHeight="1">
      <c r="B753" s="244"/>
      <c r="C753" s="244"/>
    </row>
    <row r="754" spans="2:3" ht="15.75" customHeight="1">
      <c r="B754" s="244"/>
      <c r="C754" s="244"/>
    </row>
    <row r="755" spans="2:3" ht="15.75" customHeight="1">
      <c r="B755" s="244"/>
      <c r="C755" s="244"/>
    </row>
    <row r="756" spans="2:3" ht="15.75" customHeight="1">
      <c r="B756" s="244"/>
      <c r="C756" s="244"/>
    </row>
    <row r="757" spans="2:3" ht="15.75" customHeight="1">
      <c r="B757" s="244"/>
      <c r="C757" s="244"/>
    </row>
    <row r="758" spans="2:3" ht="15.75" customHeight="1">
      <c r="B758" s="244"/>
      <c r="C758" s="244"/>
    </row>
    <row r="759" spans="2:3" ht="15.75" customHeight="1">
      <c r="B759" s="244"/>
      <c r="C759" s="244"/>
    </row>
    <row r="760" spans="2:3" ht="15.75" customHeight="1">
      <c r="B760" s="244"/>
      <c r="C760" s="244"/>
    </row>
    <row r="761" spans="2:3" ht="15.75" customHeight="1">
      <c r="B761" s="244"/>
      <c r="C761" s="244"/>
    </row>
    <row r="762" spans="2:3" ht="15.75" customHeight="1">
      <c r="B762" s="244"/>
      <c r="C762" s="244"/>
    </row>
    <row r="763" spans="2:3" ht="15.75" customHeight="1">
      <c r="B763" s="244"/>
      <c r="C763" s="244"/>
    </row>
    <row r="764" spans="2:3" ht="15.75" customHeight="1">
      <c r="B764" s="244"/>
      <c r="C764" s="244"/>
    </row>
    <row r="765" spans="2:3" ht="15.75" customHeight="1">
      <c r="B765" s="244"/>
      <c r="C765" s="244"/>
    </row>
    <row r="766" spans="2:3" ht="15.75" customHeight="1">
      <c r="B766" s="244"/>
      <c r="C766" s="244"/>
    </row>
    <row r="767" spans="2:3" ht="15.75" customHeight="1">
      <c r="B767" s="244"/>
      <c r="C767" s="244"/>
    </row>
    <row r="768" spans="2:3" ht="15.75" customHeight="1">
      <c r="B768" s="244"/>
      <c r="C768" s="244"/>
    </row>
    <row r="769" spans="2:3" ht="15.75" customHeight="1">
      <c r="B769" s="244"/>
      <c r="C769" s="244"/>
    </row>
    <row r="770" spans="2:3" ht="15.75" customHeight="1">
      <c r="B770" s="244"/>
      <c r="C770" s="244"/>
    </row>
    <row r="771" spans="2:3" ht="15.75" customHeight="1">
      <c r="B771" s="244"/>
      <c r="C771" s="244"/>
    </row>
    <row r="772" spans="2:3" ht="15.75" customHeight="1">
      <c r="B772" s="244"/>
      <c r="C772" s="244"/>
    </row>
    <row r="773" spans="2:3" ht="15.75" customHeight="1">
      <c r="B773" s="244"/>
      <c r="C773" s="244"/>
    </row>
    <row r="774" spans="2:3" ht="15.75" customHeight="1">
      <c r="B774" s="244"/>
      <c r="C774" s="244"/>
    </row>
    <row r="775" spans="2:3" ht="15.75" customHeight="1">
      <c r="B775" s="244"/>
      <c r="C775" s="244"/>
    </row>
    <row r="776" spans="2:3" ht="15.75" customHeight="1">
      <c r="B776" s="244"/>
      <c r="C776" s="244"/>
    </row>
    <row r="777" spans="2:3" ht="15.75" customHeight="1">
      <c r="B777" s="244"/>
      <c r="C777" s="244"/>
    </row>
    <row r="778" spans="2:3" ht="15.75" customHeight="1">
      <c r="B778" s="244"/>
      <c r="C778" s="244"/>
    </row>
    <row r="779" spans="2:3" ht="15.75" customHeight="1">
      <c r="B779" s="244"/>
      <c r="C779" s="244"/>
    </row>
    <row r="780" spans="2:3" ht="15.75" customHeight="1">
      <c r="B780" s="244"/>
      <c r="C780" s="244"/>
    </row>
    <row r="781" spans="2:3" ht="15.75" customHeight="1">
      <c r="B781" s="244"/>
      <c r="C781" s="244"/>
    </row>
    <row r="782" spans="2:3" ht="15.75" customHeight="1">
      <c r="B782" s="244"/>
      <c r="C782" s="244"/>
    </row>
    <row r="783" spans="2:3" ht="15.75" customHeight="1">
      <c r="B783" s="244"/>
      <c r="C783" s="244"/>
    </row>
    <row r="784" spans="2:3" ht="15.75" customHeight="1">
      <c r="B784" s="244"/>
      <c r="C784" s="244"/>
    </row>
    <row r="785" spans="2:3" ht="15.75" customHeight="1">
      <c r="B785" s="244"/>
      <c r="C785" s="244"/>
    </row>
    <row r="786" spans="2:3" ht="15.75" customHeight="1">
      <c r="B786" s="244"/>
      <c r="C786" s="244"/>
    </row>
    <row r="787" spans="2:3" ht="15.75" customHeight="1">
      <c r="B787" s="244"/>
      <c r="C787" s="244"/>
    </row>
    <row r="788" spans="2:3" ht="15.75" customHeight="1">
      <c r="B788" s="244"/>
      <c r="C788" s="244"/>
    </row>
    <row r="789" spans="2:3" ht="15.75" customHeight="1">
      <c r="B789" s="244"/>
      <c r="C789" s="244"/>
    </row>
    <row r="790" spans="2:3" ht="15.75" customHeight="1">
      <c r="B790" s="244"/>
      <c r="C790" s="244"/>
    </row>
    <row r="791" spans="2:3" ht="15.75" customHeight="1">
      <c r="B791" s="244"/>
      <c r="C791" s="244"/>
    </row>
    <row r="792" spans="2:3" ht="15.75" customHeight="1">
      <c r="B792" s="244"/>
      <c r="C792" s="244"/>
    </row>
    <row r="793" spans="2:3" ht="15.75" customHeight="1">
      <c r="B793" s="244"/>
      <c r="C793" s="244"/>
    </row>
    <row r="794" spans="2:3" ht="15.75" customHeight="1">
      <c r="B794" s="244"/>
      <c r="C794" s="244"/>
    </row>
    <row r="795" spans="2:3" ht="15.75" customHeight="1">
      <c r="B795" s="244"/>
      <c r="C795" s="244"/>
    </row>
    <row r="796" spans="2:3" ht="15.75" customHeight="1">
      <c r="B796" s="244"/>
      <c r="C796" s="244"/>
    </row>
    <row r="797" spans="2:3" ht="15.75" customHeight="1">
      <c r="B797" s="244"/>
      <c r="C797" s="244"/>
    </row>
    <row r="798" spans="2:3" ht="15.75" customHeight="1">
      <c r="B798" s="244"/>
      <c r="C798" s="244"/>
    </row>
    <row r="799" spans="2:3" ht="15.75" customHeight="1">
      <c r="B799" s="244"/>
      <c r="C799" s="244"/>
    </row>
    <row r="800" spans="2:3" ht="15.75" customHeight="1">
      <c r="B800" s="244"/>
      <c r="C800" s="244"/>
    </row>
    <row r="801" spans="2:3" ht="15.75" customHeight="1">
      <c r="B801" s="244"/>
      <c r="C801" s="244"/>
    </row>
    <row r="802" spans="2:3" ht="15.75" customHeight="1">
      <c r="B802" s="244"/>
      <c r="C802" s="244"/>
    </row>
    <row r="803" spans="2:3" ht="15.75" customHeight="1">
      <c r="B803" s="244"/>
      <c r="C803" s="244"/>
    </row>
    <row r="804" spans="2:3" ht="15.75" customHeight="1">
      <c r="B804" s="244"/>
      <c r="C804" s="244"/>
    </row>
    <row r="805" spans="2:3" ht="15.75" customHeight="1">
      <c r="B805" s="244"/>
      <c r="C805" s="244"/>
    </row>
    <row r="806" spans="2:3" ht="15.75" customHeight="1">
      <c r="B806" s="244"/>
      <c r="C806" s="244"/>
    </row>
    <row r="807" spans="2:3" ht="15.75" customHeight="1">
      <c r="B807" s="244"/>
      <c r="C807" s="244"/>
    </row>
    <row r="808" spans="2:3" ht="15.75" customHeight="1">
      <c r="B808" s="244"/>
      <c r="C808" s="244"/>
    </row>
    <row r="809" spans="2:3" ht="15.75" customHeight="1">
      <c r="B809" s="244"/>
      <c r="C809" s="244"/>
    </row>
    <row r="810" spans="2:3" ht="15.75" customHeight="1">
      <c r="B810" s="244"/>
      <c r="C810" s="244"/>
    </row>
    <row r="811" spans="2:3" ht="15.75" customHeight="1">
      <c r="B811" s="244"/>
      <c r="C811" s="244"/>
    </row>
    <row r="812" spans="2:3" ht="15.75" customHeight="1">
      <c r="B812" s="244"/>
      <c r="C812" s="244"/>
    </row>
    <row r="813" spans="2:3" ht="15.75" customHeight="1">
      <c r="B813" s="244"/>
      <c r="C813" s="244"/>
    </row>
    <row r="814" spans="2:3" ht="15.75" customHeight="1">
      <c r="B814" s="244"/>
      <c r="C814" s="244"/>
    </row>
    <row r="815" spans="2:3" ht="15.75" customHeight="1">
      <c r="B815" s="244"/>
      <c r="C815" s="244"/>
    </row>
    <row r="816" spans="2:3" ht="15.75" customHeight="1">
      <c r="B816" s="244"/>
      <c r="C816" s="244"/>
    </row>
    <row r="817" spans="2:3" ht="15.75" customHeight="1">
      <c r="B817" s="244"/>
      <c r="C817" s="244"/>
    </row>
    <row r="818" spans="2:3" ht="15.75" customHeight="1">
      <c r="B818" s="244"/>
      <c r="C818" s="244"/>
    </row>
    <row r="819" spans="2:3" ht="15.75" customHeight="1">
      <c r="B819" s="244"/>
      <c r="C819" s="244"/>
    </row>
    <row r="820" spans="2:3" ht="15.75" customHeight="1">
      <c r="B820" s="244"/>
      <c r="C820" s="244"/>
    </row>
    <row r="821" spans="2:3" ht="15.75" customHeight="1">
      <c r="B821" s="244"/>
      <c r="C821" s="244"/>
    </row>
    <row r="822" spans="2:3" ht="15.75" customHeight="1">
      <c r="B822" s="244"/>
      <c r="C822" s="244"/>
    </row>
    <row r="823" spans="2:3" ht="15.75" customHeight="1">
      <c r="B823" s="244"/>
      <c r="C823" s="244"/>
    </row>
    <row r="824" spans="2:3" ht="15.75" customHeight="1">
      <c r="B824" s="244"/>
      <c r="C824" s="244"/>
    </row>
    <row r="825" spans="2:3" ht="15.75" customHeight="1">
      <c r="B825" s="244"/>
      <c r="C825" s="244"/>
    </row>
    <row r="826" spans="2:3" ht="15.75" customHeight="1">
      <c r="B826" s="244"/>
      <c r="C826" s="244"/>
    </row>
    <row r="827" spans="2:3" ht="15.75" customHeight="1">
      <c r="B827" s="244"/>
      <c r="C827" s="244"/>
    </row>
    <row r="828" spans="2:3" ht="15.75" customHeight="1">
      <c r="B828" s="244"/>
      <c r="C828" s="244"/>
    </row>
    <row r="829" spans="2:3" ht="15.75" customHeight="1">
      <c r="B829" s="244"/>
      <c r="C829" s="244"/>
    </row>
    <row r="830" spans="2:3" ht="15.75" customHeight="1">
      <c r="B830" s="244"/>
      <c r="C830" s="244"/>
    </row>
    <row r="831" spans="2:3" ht="15.75" customHeight="1">
      <c r="B831" s="244"/>
      <c r="C831" s="244"/>
    </row>
    <row r="832" spans="2:3" ht="15.75" customHeight="1">
      <c r="B832" s="244"/>
      <c r="C832" s="244"/>
    </row>
    <row r="833" spans="2:3" ht="15.75" customHeight="1">
      <c r="B833" s="244"/>
      <c r="C833" s="244"/>
    </row>
    <row r="834" spans="2:3" ht="15.75" customHeight="1">
      <c r="B834" s="244"/>
      <c r="C834" s="244"/>
    </row>
    <row r="835" spans="2:3" ht="15.75" customHeight="1">
      <c r="B835" s="244"/>
      <c r="C835" s="244"/>
    </row>
    <row r="836" spans="2:3" ht="15.75" customHeight="1">
      <c r="B836" s="244"/>
      <c r="C836" s="244"/>
    </row>
    <row r="837" spans="2:3" ht="15.75" customHeight="1">
      <c r="B837" s="244"/>
      <c r="C837" s="244"/>
    </row>
    <row r="838" spans="2:3" ht="15.75" customHeight="1">
      <c r="B838" s="244"/>
      <c r="C838" s="244"/>
    </row>
    <row r="839" spans="2:3" ht="15.75" customHeight="1">
      <c r="B839" s="244"/>
      <c r="C839" s="244"/>
    </row>
    <row r="840" spans="2:3" ht="15.75" customHeight="1">
      <c r="B840" s="244"/>
      <c r="C840" s="244"/>
    </row>
    <row r="841" spans="2:3" ht="15.75" customHeight="1">
      <c r="B841" s="244"/>
      <c r="C841" s="244"/>
    </row>
    <row r="842" spans="2:3" ht="15.75" customHeight="1">
      <c r="B842" s="244"/>
      <c r="C842" s="244"/>
    </row>
    <row r="843" spans="2:3" ht="15.75" customHeight="1">
      <c r="B843" s="244"/>
      <c r="C843" s="244"/>
    </row>
    <row r="844" spans="2:3" ht="15.75" customHeight="1">
      <c r="B844" s="244"/>
      <c r="C844" s="244"/>
    </row>
    <row r="845" spans="2:3" ht="15.75" customHeight="1">
      <c r="B845" s="244"/>
      <c r="C845" s="244"/>
    </row>
    <row r="846" spans="2:3" ht="15.75" customHeight="1">
      <c r="B846" s="244"/>
      <c r="C846" s="244"/>
    </row>
    <row r="847" spans="2:3" ht="15.75" customHeight="1">
      <c r="B847" s="244"/>
      <c r="C847" s="244"/>
    </row>
    <row r="848" spans="2:3" ht="15.75" customHeight="1">
      <c r="B848" s="244"/>
      <c r="C848" s="244"/>
    </row>
    <row r="849" spans="2:3" ht="15.75" customHeight="1">
      <c r="B849" s="244"/>
      <c r="C849" s="244"/>
    </row>
    <row r="850" spans="2:3" ht="15.75" customHeight="1">
      <c r="B850" s="244"/>
      <c r="C850" s="244"/>
    </row>
    <row r="851" spans="2:3" ht="15.75" customHeight="1">
      <c r="B851" s="244"/>
      <c r="C851" s="244"/>
    </row>
    <row r="852" spans="2:3" ht="15.75" customHeight="1">
      <c r="B852" s="244"/>
      <c r="C852" s="244"/>
    </row>
    <row r="853" spans="2:3" ht="15.75" customHeight="1">
      <c r="B853" s="244"/>
      <c r="C853" s="244"/>
    </row>
    <row r="854" spans="2:3" ht="15.75" customHeight="1">
      <c r="B854" s="244"/>
      <c r="C854" s="244"/>
    </row>
    <row r="855" spans="2:3" ht="15.75" customHeight="1">
      <c r="B855" s="244"/>
      <c r="C855" s="244"/>
    </row>
    <row r="856" spans="2:3" ht="15.75" customHeight="1">
      <c r="B856" s="244"/>
      <c r="C856" s="244"/>
    </row>
    <row r="857" spans="2:3" ht="15.75" customHeight="1">
      <c r="B857" s="244"/>
      <c r="C857" s="244"/>
    </row>
    <row r="858" spans="2:3" ht="15.75" customHeight="1">
      <c r="B858" s="244"/>
      <c r="C858" s="244"/>
    </row>
    <row r="859" spans="2:3" ht="15.75" customHeight="1">
      <c r="B859" s="244"/>
      <c r="C859" s="244"/>
    </row>
    <row r="860" spans="2:3" ht="15.75" customHeight="1">
      <c r="B860" s="244"/>
      <c r="C860" s="244"/>
    </row>
    <row r="861" spans="2:3" ht="15.75" customHeight="1">
      <c r="B861" s="244"/>
      <c r="C861" s="244"/>
    </row>
    <row r="862" spans="2:3" ht="15.75" customHeight="1">
      <c r="B862" s="244"/>
      <c r="C862" s="244"/>
    </row>
    <row r="863" spans="2:3" ht="15.75" customHeight="1">
      <c r="B863" s="244"/>
      <c r="C863" s="244"/>
    </row>
    <row r="864" spans="2:3" ht="15.75" customHeight="1">
      <c r="B864" s="244"/>
      <c r="C864" s="244"/>
    </row>
    <row r="865" spans="2:3" ht="15.75" customHeight="1">
      <c r="B865" s="244"/>
      <c r="C865" s="244"/>
    </row>
    <row r="866" spans="2:3" ht="15.75" customHeight="1">
      <c r="B866" s="244"/>
      <c r="C866" s="244"/>
    </row>
    <row r="867" spans="2:3" ht="15.75" customHeight="1">
      <c r="B867" s="244"/>
      <c r="C867" s="244"/>
    </row>
    <row r="868" spans="2:3" ht="15.75" customHeight="1">
      <c r="B868" s="244"/>
      <c r="C868" s="244"/>
    </row>
    <row r="869" spans="2:3" ht="15.75" customHeight="1">
      <c r="B869" s="244"/>
      <c r="C869" s="244"/>
    </row>
    <row r="870" spans="2:3" ht="15.75" customHeight="1">
      <c r="B870" s="244"/>
      <c r="C870" s="244"/>
    </row>
    <row r="871" spans="2:3" ht="15.75" customHeight="1">
      <c r="B871" s="244"/>
      <c r="C871" s="244"/>
    </row>
    <row r="872" spans="2:3" ht="15.75" customHeight="1">
      <c r="B872" s="244"/>
      <c r="C872" s="244"/>
    </row>
    <row r="873" spans="2:3" ht="15.75" customHeight="1">
      <c r="B873" s="244"/>
      <c r="C873" s="244"/>
    </row>
    <row r="874" spans="2:3" ht="15.75" customHeight="1">
      <c r="B874" s="244"/>
      <c r="C874" s="244"/>
    </row>
    <row r="875" spans="2:3" ht="15.75" customHeight="1">
      <c r="B875" s="244"/>
      <c r="C875" s="244"/>
    </row>
    <row r="876" spans="2:3" ht="15.75" customHeight="1">
      <c r="B876" s="244"/>
      <c r="C876" s="244"/>
    </row>
    <row r="877" spans="2:3" ht="15.75" customHeight="1">
      <c r="B877" s="244"/>
      <c r="C877" s="244"/>
    </row>
    <row r="878" spans="2:3" ht="15.75" customHeight="1">
      <c r="B878" s="244"/>
      <c r="C878" s="244"/>
    </row>
    <row r="879" spans="2:3" ht="15.75" customHeight="1">
      <c r="B879" s="244"/>
      <c r="C879" s="244"/>
    </row>
    <row r="880" spans="2:3" ht="15.75" customHeight="1">
      <c r="B880" s="244"/>
      <c r="C880" s="244"/>
    </row>
    <row r="881" spans="2:3" ht="15.75" customHeight="1">
      <c r="B881" s="244"/>
      <c r="C881" s="244"/>
    </row>
    <row r="882" spans="2:3" ht="15.75" customHeight="1">
      <c r="B882" s="244"/>
      <c r="C882" s="244"/>
    </row>
    <row r="883" spans="2:3" ht="15.75" customHeight="1">
      <c r="B883" s="244"/>
      <c r="C883" s="244"/>
    </row>
    <row r="884" spans="2:3" ht="15.75" customHeight="1">
      <c r="B884" s="244"/>
      <c r="C884" s="244"/>
    </row>
    <row r="885" spans="2:3" ht="15.75" customHeight="1">
      <c r="B885" s="244"/>
      <c r="C885" s="244"/>
    </row>
    <row r="886" spans="2:3" ht="15.75" customHeight="1">
      <c r="B886" s="244"/>
      <c r="C886" s="244"/>
    </row>
    <row r="887" spans="2:3" ht="15.75" customHeight="1">
      <c r="B887" s="244"/>
      <c r="C887" s="244"/>
    </row>
    <row r="888" spans="2:3" ht="15.75" customHeight="1">
      <c r="B888" s="244"/>
      <c r="C888" s="244"/>
    </row>
    <row r="889" spans="2:3" ht="15.75" customHeight="1">
      <c r="B889" s="244"/>
      <c r="C889" s="244"/>
    </row>
    <row r="890" spans="2:3" ht="15.75" customHeight="1">
      <c r="B890" s="244"/>
      <c r="C890" s="244"/>
    </row>
    <row r="891" spans="2:3" ht="15.75" customHeight="1">
      <c r="B891" s="244"/>
      <c r="C891" s="244"/>
    </row>
    <row r="892" spans="2:3" ht="15.75" customHeight="1">
      <c r="B892" s="244"/>
      <c r="C892" s="244"/>
    </row>
    <row r="893" spans="2:3" ht="15.75" customHeight="1">
      <c r="B893" s="244"/>
      <c r="C893" s="244"/>
    </row>
    <row r="894" spans="2:3" ht="15.75" customHeight="1">
      <c r="B894" s="244"/>
      <c r="C894" s="244"/>
    </row>
    <row r="895" spans="2:3" ht="15.75" customHeight="1">
      <c r="B895" s="244"/>
      <c r="C895" s="244"/>
    </row>
    <row r="896" spans="2:3" ht="15.75" customHeight="1">
      <c r="B896" s="244"/>
      <c r="C896" s="244"/>
    </row>
    <row r="897" spans="2:3" ht="15.75" customHeight="1">
      <c r="B897" s="244"/>
      <c r="C897" s="244"/>
    </row>
    <row r="898" spans="2:3" ht="15.75" customHeight="1">
      <c r="B898" s="244"/>
      <c r="C898" s="244"/>
    </row>
    <row r="899" spans="2:3" ht="15.75" customHeight="1">
      <c r="B899" s="244"/>
      <c r="C899" s="244"/>
    </row>
    <row r="900" spans="2:3" ht="15.75" customHeight="1">
      <c r="B900" s="244"/>
      <c r="C900" s="244"/>
    </row>
    <row r="901" spans="2:3" ht="15.75" customHeight="1">
      <c r="B901" s="244"/>
      <c r="C901" s="244"/>
    </row>
    <row r="902" spans="2:3" ht="15.75" customHeight="1">
      <c r="B902" s="244"/>
      <c r="C902" s="244"/>
    </row>
    <row r="903" spans="2:3" ht="15.75" customHeight="1">
      <c r="B903" s="244"/>
      <c r="C903" s="244"/>
    </row>
    <row r="904" spans="2:3" ht="15.75" customHeight="1">
      <c r="B904" s="244"/>
      <c r="C904" s="244"/>
    </row>
    <row r="905" spans="2:3" ht="15.75" customHeight="1">
      <c r="B905" s="244"/>
      <c r="C905" s="244"/>
    </row>
    <row r="906" spans="2:3" ht="15.75" customHeight="1">
      <c r="B906" s="244"/>
      <c r="C906" s="244"/>
    </row>
    <row r="907" spans="2:3" ht="15.75" customHeight="1">
      <c r="B907" s="244"/>
      <c r="C907" s="244"/>
    </row>
    <row r="908" spans="2:3" ht="15.75" customHeight="1">
      <c r="B908" s="244"/>
      <c r="C908" s="244"/>
    </row>
    <row r="909" spans="2:3" ht="15.75" customHeight="1">
      <c r="B909" s="244"/>
      <c r="C909" s="244"/>
    </row>
    <row r="910" spans="2:3" ht="15.75" customHeight="1">
      <c r="B910" s="244"/>
      <c r="C910" s="244"/>
    </row>
    <row r="911" spans="2:3" ht="15.75" customHeight="1">
      <c r="B911" s="244"/>
      <c r="C911" s="244"/>
    </row>
    <row r="912" spans="2:3" ht="15.75" customHeight="1">
      <c r="B912" s="244"/>
      <c r="C912" s="244"/>
    </row>
    <row r="913" spans="2:3" ht="15.75" customHeight="1">
      <c r="B913" s="244"/>
      <c r="C913" s="244"/>
    </row>
    <row r="914" spans="2:3" ht="15.75" customHeight="1">
      <c r="B914" s="244"/>
      <c r="C914" s="244"/>
    </row>
    <row r="915" spans="2:3" ht="15.75" customHeight="1">
      <c r="B915" s="244"/>
      <c r="C915" s="244"/>
    </row>
    <row r="916" spans="2:3" ht="15.75" customHeight="1">
      <c r="B916" s="244"/>
      <c r="C916" s="244"/>
    </row>
    <row r="917" spans="2:3" ht="15.75" customHeight="1">
      <c r="B917" s="244"/>
      <c r="C917" s="244"/>
    </row>
    <row r="918" spans="2:3" ht="15.75" customHeight="1">
      <c r="B918" s="244"/>
      <c r="C918" s="244"/>
    </row>
    <row r="919" spans="2:3" ht="15.75" customHeight="1">
      <c r="B919" s="244"/>
      <c r="C919" s="244"/>
    </row>
    <row r="920" spans="2:3" ht="15.75" customHeight="1">
      <c r="B920" s="244"/>
      <c r="C920" s="244"/>
    </row>
    <row r="921" spans="2:3" ht="15.75" customHeight="1">
      <c r="B921" s="244"/>
      <c r="C921" s="244"/>
    </row>
    <row r="922" spans="2:3" ht="15.75" customHeight="1">
      <c r="B922" s="244"/>
      <c r="C922" s="244"/>
    </row>
    <row r="923" spans="2:3" ht="15.75" customHeight="1">
      <c r="B923" s="244"/>
      <c r="C923" s="244"/>
    </row>
    <row r="924" spans="2:3" ht="15.75" customHeight="1">
      <c r="B924" s="244"/>
      <c r="C924" s="244"/>
    </row>
    <row r="925" spans="2:3" ht="15.75" customHeight="1">
      <c r="B925" s="244"/>
      <c r="C925" s="244"/>
    </row>
    <row r="926" spans="2:3" ht="15.75" customHeight="1">
      <c r="B926" s="244"/>
      <c r="C926" s="244"/>
    </row>
    <row r="927" spans="2:3" ht="15.75" customHeight="1">
      <c r="B927" s="244"/>
      <c r="C927" s="244"/>
    </row>
    <row r="928" spans="2:3" ht="15.75" customHeight="1">
      <c r="B928" s="244"/>
      <c r="C928" s="244"/>
    </row>
    <row r="929" spans="2:3" ht="15.75" customHeight="1">
      <c r="B929" s="244"/>
      <c r="C929" s="244"/>
    </row>
    <row r="930" spans="2:3" ht="15.75" customHeight="1">
      <c r="B930" s="244"/>
      <c r="C930" s="244"/>
    </row>
    <row r="931" spans="2:3" ht="15.75" customHeight="1">
      <c r="B931" s="244"/>
      <c r="C931" s="244"/>
    </row>
    <row r="932" spans="2:3" ht="15.75" customHeight="1">
      <c r="B932" s="244"/>
      <c r="C932" s="244"/>
    </row>
    <row r="933" spans="2:3" ht="15.75" customHeight="1">
      <c r="B933" s="244"/>
      <c r="C933" s="244"/>
    </row>
    <row r="934" spans="2:3" ht="15.75" customHeight="1">
      <c r="B934" s="244"/>
      <c r="C934" s="244"/>
    </row>
    <row r="935" spans="2:3" ht="15.75" customHeight="1">
      <c r="B935" s="244"/>
      <c r="C935" s="244"/>
    </row>
    <row r="936" spans="2:3" ht="15.75" customHeight="1">
      <c r="B936" s="244"/>
      <c r="C936" s="244"/>
    </row>
    <row r="937" spans="2:3" ht="15.75" customHeight="1">
      <c r="B937" s="244"/>
      <c r="C937" s="244"/>
    </row>
    <row r="938" spans="2:3" ht="15.75" customHeight="1">
      <c r="B938" s="244"/>
      <c r="C938" s="244"/>
    </row>
    <row r="939" spans="2:3" ht="15.75" customHeight="1">
      <c r="B939" s="244"/>
      <c r="C939" s="244"/>
    </row>
    <row r="940" spans="2:3" ht="15.75" customHeight="1">
      <c r="B940" s="244"/>
      <c r="C940" s="244"/>
    </row>
    <row r="941" spans="2:3" ht="15.75" customHeight="1">
      <c r="B941" s="244"/>
      <c r="C941" s="244"/>
    </row>
    <row r="942" spans="2:3" ht="15.75" customHeight="1">
      <c r="B942" s="244"/>
      <c r="C942" s="244"/>
    </row>
    <row r="943" spans="2:3" ht="15.75" customHeight="1">
      <c r="B943" s="244"/>
      <c r="C943" s="244"/>
    </row>
    <row r="944" spans="2:3" ht="15.75" customHeight="1">
      <c r="B944" s="244"/>
      <c r="C944" s="244"/>
    </row>
    <row r="945" spans="2:3" ht="15.75" customHeight="1">
      <c r="B945" s="244"/>
      <c r="C945" s="244"/>
    </row>
    <row r="946" spans="2:3" ht="15.75" customHeight="1">
      <c r="B946" s="244"/>
      <c r="C946" s="244"/>
    </row>
    <row r="947" spans="2:3" ht="15.75" customHeight="1">
      <c r="B947" s="244"/>
      <c r="C947" s="244"/>
    </row>
    <row r="948" spans="2:3" ht="15.75" customHeight="1">
      <c r="B948" s="244"/>
      <c r="C948" s="244"/>
    </row>
    <row r="949" spans="2:3" ht="15.75" customHeight="1">
      <c r="B949" s="244"/>
      <c r="C949" s="244"/>
    </row>
    <row r="950" spans="2:3" ht="15.75" customHeight="1">
      <c r="B950" s="244"/>
      <c r="C950" s="244"/>
    </row>
    <row r="951" spans="2:3" ht="15.75" customHeight="1">
      <c r="B951" s="244"/>
      <c r="C951" s="244"/>
    </row>
    <row r="952" spans="2:3" ht="15.75" customHeight="1">
      <c r="B952" s="244"/>
      <c r="C952" s="244"/>
    </row>
    <row r="953" spans="2:3" ht="15.75" customHeight="1">
      <c r="B953" s="244"/>
      <c r="C953" s="244"/>
    </row>
    <row r="954" spans="2:3" ht="15.75" customHeight="1">
      <c r="B954" s="244"/>
      <c r="C954" s="244"/>
    </row>
    <row r="955" spans="2:3" ht="15.75" customHeight="1">
      <c r="B955" s="244"/>
      <c r="C955" s="244"/>
    </row>
    <row r="956" spans="2:3" ht="15.75" customHeight="1">
      <c r="B956" s="244"/>
      <c r="C956" s="244"/>
    </row>
    <row r="957" spans="2:3" ht="15.75" customHeight="1">
      <c r="B957" s="244"/>
      <c r="C957" s="244"/>
    </row>
    <row r="958" spans="2:3" ht="15.75" customHeight="1">
      <c r="B958" s="244"/>
      <c r="C958" s="244"/>
    </row>
    <row r="959" spans="2:3" ht="15.75" customHeight="1">
      <c r="B959" s="244"/>
      <c r="C959" s="244"/>
    </row>
    <row r="960" spans="2:3" ht="15.75" customHeight="1">
      <c r="B960" s="244"/>
      <c r="C960" s="244"/>
    </row>
    <row r="961" spans="2:3" ht="15.75" customHeight="1">
      <c r="B961" s="244"/>
      <c r="C961" s="244"/>
    </row>
    <row r="962" spans="2:3" ht="15.75" customHeight="1">
      <c r="B962" s="244"/>
      <c r="C962" s="244"/>
    </row>
    <row r="963" spans="2:3" ht="15.75" customHeight="1">
      <c r="B963" s="244"/>
      <c r="C963" s="244"/>
    </row>
    <row r="964" spans="2:3" ht="15.75" customHeight="1">
      <c r="B964" s="244"/>
      <c r="C964" s="244"/>
    </row>
    <row r="965" spans="2:3" ht="15.75" customHeight="1">
      <c r="B965" s="244"/>
      <c r="C965" s="244"/>
    </row>
    <row r="966" spans="2:3" ht="15.75" customHeight="1">
      <c r="B966" s="244"/>
      <c r="C966" s="244"/>
    </row>
    <row r="967" spans="2:3" ht="15.75" customHeight="1">
      <c r="B967" s="244"/>
      <c r="C967" s="244"/>
    </row>
    <row r="968" spans="2:3" ht="15.75" customHeight="1">
      <c r="B968" s="244"/>
      <c r="C968" s="244"/>
    </row>
    <row r="969" spans="2:3" ht="15.75" customHeight="1">
      <c r="B969" s="244"/>
      <c r="C969" s="244"/>
    </row>
    <row r="970" spans="2:3" ht="15.75" customHeight="1">
      <c r="B970" s="244"/>
      <c r="C970" s="244"/>
    </row>
    <row r="971" spans="2:3" ht="15.75" customHeight="1">
      <c r="B971" s="244"/>
      <c r="C971" s="244"/>
    </row>
    <row r="972" spans="2:3" ht="15.75" customHeight="1">
      <c r="B972" s="244"/>
      <c r="C972" s="244"/>
    </row>
    <row r="973" spans="2:3" ht="15.75" customHeight="1">
      <c r="B973" s="244"/>
      <c r="C973" s="244"/>
    </row>
    <row r="974" spans="2:3" ht="15.75" customHeight="1">
      <c r="B974" s="244"/>
      <c r="C974" s="244"/>
    </row>
    <row r="975" spans="2:3" ht="15.75" customHeight="1">
      <c r="B975" s="244"/>
      <c r="C975" s="244"/>
    </row>
    <row r="976" spans="2:3" ht="15.75" customHeight="1">
      <c r="B976" s="244"/>
      <c r="C976" s="244"/>
    </row>
    <row r="977" spans="2:3" ht="15.75" customHeight="1">
      <c r="B977" s="244"/>
      <c r="C977" s="244"/>
    </row>
    <row r="978" spans="2:3" ht="15.75" customHeight="1">
      <c r="B978" s="244"/>
      <c r="C978" s="244"/>
    </row>
    <row r="979" spans="2:3" ht="15.75" customHeight="1">
      <c r="B979" s="244"/>
      <c r="C979" s="244"/>
    </row>
    <row r="980" spans="2:3" ht="15.75" customHeight="1">
      <c r="B980" s="244"/>
      <c r="C980" s="244"/>
    </row>
    <row r="981" spans="2:3" ht="15.75" customHeight="1">
      <c r="B981" s="244"/>
      <c r="C981" s="244"/>
    </row>
    <row r="982" spans="2:3" ht="15.75" customHeight="1">
      <c r="B982" s="244"/>
      <c r="C982" s="244"/>
    </row>
    <row r="983" spans="2:3" ht="15.75" customHeight="1">
      <c r="B983" s="244"/>
      <c r="C983" s="244"/>
    </row>
    <row r="984" spans="2:3" ht="15.75" customHeight="1">
      <c r="B984" s="244"/>
      <c r="C984" s="244"/>
    </row>
    <row r="985" spans="2:3" ht="15.75" customHeight="1">
      <c r="B985" s="244"/>
      <c r="C985" s="244"/>
    </row>
    <row r="986" spans="2:3" ht="15.75" customHeight="1">
      <c r="B986" s="244"/>
      <c r="C986" s="244"/>
    </row>
    <row r="987" spans="2:3" ht="15.75" customHeight="1">
      <c r="B987" s="244"/>
      <c r="C987" s="244"/>
    </row>
    <row r="988" spans="2:3" ht="15.75" customHeight="1">
      <c r="B988" s="244"/>
      <c r="C988" s="244"/>
    </row>
    <row r="989" spans="2:3" ht="15.75" customHeight="1">
      <c r="B989" s="244"/>
      <c r="C989" s="244"/>
    </row>
    <row r="990" spans="2:3" ht="15.75" customHeight="1">
      <c r="B990" s="244"/>
      <c r="C990" s="244"/>
    </row>
    <row r="991" spans="2:3" ht="15.75" customHeight="1">
      <c r="B991" s="244"/>
      <c r="C991" s="244"/>
    </row>
    <row r="992" spans="2:3" ht="15.75" customHeight="1">
      <c r="B992" s="244"/>
      <c r="C992" s="244"/>
    </row>
    <row r="993" spans="2:3" ht="15.75" customHeight="1">
      <c r="B993" s="244"/>
      <c r="C993" s="244"/>
    </row>
    <row r="994" spans="2:3" ht="15.75" customHeight="1">
      <c r="B994" s="244"/>
      <c r="C994" s="244"/>
    </row>
    <row r="995" spans="2:3" ht="15.75" customHeight="1">
      <c r="B995" s="244"/>
      <c r="C995" s="244"/>
    </row>
    <row r="996" spans="2:3" ht="15.75" customHeight="1">
      <c r="B996" s="244"/>
      <c r="C996" s="244"/>
    </row>
    <row r="997" spans="2:3" ht="15.75" customHeight="1">
      <c r="B997" s="244"/>
      <c r="C997" s="244"/>
    </row>
    <row r="998" spans="2:3" ht="15.75" customHeight="1">
      <c r="B998" s="244"/>
      <c r="C998" s="244"/>
    </row>
    <row r="999" spans="2:3" ht="15.75" customHeight="1">
      <c r="B999" s="244"/>
      <c r="C999" s="244"/>
    </row>
    <row r="1000" spans="2:3" ht="15.75" customHeight="1">
      <c r="B1000" s="244"/>
      <c r="C1000" s="244"/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CC0000"/>
  </sheetPr>
  <dimension ref="A1:H1000"/>
  <sheetViews>
    <sheetView workbookViewId="0">
      <pane xSplit="2" topLeftCell="C1" activePane="topRight" state="frozen"/>
      <selection pane="topRight" activeCell="D2" sqref="D2"/>
    </sheetView>
  </sheetViews>
  <sheetFormatPr defaultColWidth="12.6640625" defaultRowHeight="15" customHeight="1"/>
  <cols>
    <col min="1" max="1" width="3.88671875" customWidth="1"/>
    <col min="2" max="2" width="12.109375" customWidth="1"/>
    <col min="3" max="3" width="75.21875" customWidth="1"/>
    <col min="4" max="4" width="19.88671875" customWidth="1"/>
    <col min="5" max="6" width="15.109375" customWidth="1"/>
    <col min="7" max="7" width="12.109375" customWidth="1"/>
    <col min="8" max="8" width="23.21875" customWidth="1"/>
  </cols>
  <sheetData>
    <row r="1" spans="1:8" ht="14.25" customHeight="1"/>
    <row r="2" spans="1:8" ht="14.25" customHeight="1">
      <c r="A2" s="127"/>
      <c r="B2" s="127"/>
      <c r="C2" s="127"/>
      <c r="D2" s="245"/>
      <c r="E2" s="127"/>
      <c r="F2" s="127"/>
      <c r="G2" s="127"/>
      <c r="H2" s="127"/>
    </row>
    <row r="3" spans="1:8" ht="14.25" customHeight="1">
      <c r="A3" s="53" t="s">
        <v>424</v>
      </c>
      <c r="B3" s="53" t="s">
        <v>404</v>
      </c>
      <c r="C3" s="53" t="s">
        <v>425</v>
      </c>
      <c r="D3" s="54" t="s">
        <v>407</v>
      </c>
      <c r="E3" s="53" t="s">
        <v>408</v>
      </c>
      <c r="F3" s="53" t="s">
        <v>409</v>
      </c>
      <c r="G3" s="53" t="s">
        <v>513</v>
      </c>
      <c r="H3" s="53" t="s">
        <v>410</v>
      </c>
    </row>
    <row r="4" spans="1:8" ht="14.25" customHeight="1">
      <c r="A4" s="131"/>
      <c r="B4" s="131" t="s">
        <v>621</v>
      </c>
      <c r="C4" s="131" t="s">
        <v>428</v>
      </c>
      <c r="D4" s="246">
        <v>45852</v>
      </c>
      <c r="E4" s="131" t="s">
        <v>622</v>
      </c>
      <c r="F4" s="131">
        <v>7</v>
      </c>
      <c r="G4" s="131"/>
      <c r="H4" s="131" t="s">
        <v>540</v>
      </c>
    </row>
    <row r="5" spans="1:8" ht="14.25" customHeight="1">
      <c r="A5" s="131"/>
      <c r="B5" s="131" t="s">
        <v>621</v>
      </c>
      <c r="C5" s="131" t="s">
        <v>428</v>
      </c>
      <c r="D5" s="246">
        <v>45859</v>
      </c>
      <c r="E5" s="131" t="s">
        <v>622</v>
      </c>
      <c r="F5" s="131">
        <v>7</v>
      </c>
      <c r="G5" s="131"/>
      <c r="H5" s="131" t="s">
        <v>540</v>
      </c>
    </row>
    <row r="6" spans="1:8" ht="14.25" customHeight="1">
      <c r="A6" s="131"/>
      <c r="B6" s="131" t="s">
        <v>621</v>
      </c>
      <c r="C6" s="131" t="s">
        <v>428</v>
      </c>
      <c r="D6" s="246">
        <v>45866</v>
      </c>
      <c r="E6" s="131" t="s">
        <v>622</v>
      </c>
      <c r="F6" s="131">
        <v>7</v>
      </c>
      <c r="G6" s="131"/>
      <c r="H6" s="131" t="s">
        <v>540</v>
      </c>
    </row>
    <row r="7" spans="1:8" ht="14.25" customHeight="1">
      <c r="A7" s="131"/>
      <c r="B7" s="131" t="s">
        <v>621</v>
      </c>
      <c r="C7" s="131" t="s">
        <v>428</v>
      </c>
      <c r="D7" s="246">
        <v>45873</v>
      </c>
      <c r="E7" s="131" t="s">
        <v>623</v>
      </c>
      <c r="F7" s="131" t="s">
        <v>13</v>
      </c>
      <c r="G7" s="131"/>
      <c r="H7" s="131" t="s">
        <v>540</v>
      </c>
    </row>
    <row r="8" spans="1:8" ht="14.25" customHeight="1">
      <c r="A8" s="131"/>
      <c r="B8" s="131" t="s">
        <v>621</v>
      </c>
      <c r="C8" s="131" t="s">
        <v>428</v>
      </c>
      <c r="D8" s="246">
        <v>45880</v>
      </c>
      <c r="E8" s="131" t="s">
        <v>622</v>
      </c>
      <c r="F8" s="131">
        <v>7</v>
      </c>
      <c r="G8" s="131"/>
      <c r="H8" s="131" t="s">
        <v>540</v>
      </c>
    </row>
    <row r="9" spans="1:8" ht="14.25" customHeight="1">
      <c r="A9" s="131"/>
      <c r="B9" s="131" t="s">
        <v>621</v>
      </c>
      <c r="C9" s="131" t="s">
        <v>428</v>
      </c>
      <c r="D9" s="246">
        <v>45887</v>
      </c>
      <c r="E9" s="131" t="s">
        <v>622</v>
      </c>
      <c r="F9" s="131">
        <v>7</v>
      </c>
      <c r="G9" s="131"/>
      <c r="H9" s="131" t="s">
        <v>540</v>
      </c>
    </row>
    <row r="10" spans="1:8" ht="14.25" customHeight="1">
      <c r="A10" s="131"/>
      <c r="B10" s="131" t="s">
        <v>621</v>
      </c>
      <c r="C10" s="131" t="s">
        <v>428</v>
      </c>
      <c r="D10" s="246">
        <v>45894</v>
      </c>
      <c r="E10" s="131" t="s">
        <v>622</v>
      </c>
      <c r="F10" s="131">
        <v>7</v>
      </c>
      <c r="G10" s="131"/>
      <c r="H10" s="131" t="s">
        <v>540</v>
      </c>
    </row>
    <row r="11" spans="1:8" ht="14.25" customHeight="1">
      <c r="A11" s="131"/>
      <c r="B11" s="131" t="s">
        <v>621</v>
      </c>
      <c r="C11" s="131" t="s">
        <v>428</v>
      </c>
      <c r="D11" s="246">
        <v>45901</v>
      </c>
      <c r="E11" s="131" t="s">
        <v>623</v>
      </c>
      <c r="F11" s="131" t="s">
        <v>14</v>
      </c>
      <c r="G11" s="131"/>
      <c r="H11" s="131" t="s">
        <v>540</v>
      </c>
    </row>
    <row r="12" spans="1:8" ht="14.25" customHeight="1">
      <c r="A12" s="131"/>
      <c r="B12" s="131" t="s">
        <v>621</v>
      </c>
      <c r="C12" s="131" t="s">
        <v>437</v>
      </c>
      <c r="D12" s="246">
        <v>45853</v>
      </c>
      <c r="E12" s="131" t="s">
        <v>622</v>
      </c>
      <c r="F12" s="131">
        <v>7</v>
      </c>
      <c r="G12" s="131"/>
      <c r="H12" s="131" t="s">
        <v>540</v>
      </c>
    </row>
    <row r="13" spans="1:8" ht="14.25" customHeight="1">
      <c r="A13" s="131"/>
      <c r="B13" s="131" t="s">
        <v>621</v>
      </c>
      <c r="C13" s="131" t="s">
        <v>437</v>
      </c>
      <c r="D13" s="246">
        <v>45860</v>
      </c>
      <c r="E13" s="131" t="s">
        <v>622</v>
      </c>
      <c r="F13" s="131">
        <v>7</v>
      </c>
      <c r="G13" s="131"/>
      <c r="H13" s="131" t="s">
        <v>540</v>
      </c>
    </row>
    <row r="14" spans="1:8" ht="14.25" customHeight="1">
      <c r="A14" s="131"/>
      <c r="B14" s="131" t="s">
        <v>621</v>
      </c>
      <c r="C14" s="131" t="s">
        <v>437</v>
      </c>
      <c r="D14" s="246">
        <v>45867</v>
      </c>
      <c r="E14" s="131" t="s">
        <v>622</v>
      </c>
      <c r="F14" s="131">
        <v>7</v>
      </c>
      <c r="G14" s="131"/>
      <c r="H14" s="131" t="s">
        <v>540</v>
      </c>
    </row>
    <row r="15" spans="1:8" ht="14.25" customHeight="1">
      <c r="A15" s="131"/>
      <c r="B15" s="131" t="s">
        <v>621</v>
      </c>
      <c r="C15" s="131" t="s">
        <v>437</v>
      </c>
      <c r="D15" s="246">
        <v>45874</v>
      </c>
      <c r="E15" s="131" t="s">
        <v>623</v>
      </c>
      <c r="F15" s="131" t="s">
        <v>13</v>
      </c>
      <c r="G15" s="131"/>
      <c r="H15" s="131" t="s">
        <v>540</v>
      </c>
    </row>
    <row r="16" spans="1:8" ht="14.25" customHeight="1">
      <c r="A16" s="131"/>
      <c r="B16" s="131" t="s">
        <v>621</v>
      </c>
      <c r="C16" s="131" t="s">
        <v>437</v>
      </c>
      <c r="D16" s="246">
        <v>45881</v>
      </c>
      <c r="E16" s="131" t="s">
        <v>622</v>
      </c>
      <c r="F16" s="131">
        <v>7</v>
      </c>
      <c r="G16" s="131"/>
      <c r="H16" s="131" t="s">
        <v>540</v>
      </c>
    </row>
    <row r="17" spans="1:8" ht="14.25" customHeight="1">
      <c r="A17" s="131"/>
      <c r="B17" s="131" t="s">
        <v>621</v>
      </c>
      <c r="C17" s="131" t="s">
        <v>437</v>
      </c>
      <c r="D17" s="246">
        <v>45888</v>
      </c>
      <c r="E17" s="131" t="s">
        <v>622</v>
      </c>
      <c r="F17" s="131">
        <v>7</v>
      </c>
      <c r="G17" s="131"/>
      <c r="H17" s="131" t="s">
        <v>540</v>
      </c>
    </row>
    <row r="18" spans="1:8" ht="14.25" customHeight="1">
      <c r="A18" s="131"/>
      <c r="B18" s="131" t="s">
        <v>621</v>
      </c>
      <c r="C18" s="131" t="s">
        <v>437</v>
      </c>
      <c r="D18" s="246">
        <v>45895</v>
      </c>
      <c r="E18" s="131" t="s">
        <v>622</v>
      </c>
      <c r="F18" s="131">
        <v>7</v>
      </c>
      <c r="G18" s="131"/>
      <c r="H18" s="131" t="s">
        <v>540</v>
      </c>
    </row>
    <row r="19" spans="1:8" ht="14.25" customHeight="1">
      <c r="A19" s="131"/>
      <c r="B19" s="131" t="s">
        <v>621</v>
      </c>
      <c r="C19" s="131" t="s">
        <v>437</v>
      </c>
      <c r="D19" s="246">
        <v>45902</v>
      </c>
      <c r="E19" s="131" t="s">
        <v>623</v>
      </c>
      <c r="F19" s="131" t="s">
        <v>14</v>
      </c>
      <c r="G19" s="131"/>
      <c r="H19" s="131" t="s">
        <v>540</v>
      </c>
    </row>
    <row r="20" spans="1:8" ht="14.25" customHeight="1">
      <c r="A20" s="131"/>
      <c r="B20" s="131" t="s">
        <v>416</v>
      </c>
      <c r="C20" s="131" t="s">
        <v>444</v>
      </c>
      <c r="D20" s="246">
        <v>45852</v>
      </c>
      <c r="E20" s="131" t="s">
        <v>622</v>
      </c>
      <c r="F20" s="131">
        <v>7</v>
      </c>
      <c r="G20" s="131"/>
      <c r="H20" s="131" t="s">
        <v>537</v>
      </c>
    </row>
    <row r="21" spans="1:8" ht="14.25" customHeight="1">
      <c r="A21" s="131"/>
      <c r="B21" s="131" t="s">
        <v>416</v>
      </c>
      <c r="C21" s="131" t="s">
        <v>444</v>
      </c>
      <c r="D21" s="246">
        <v>45859</v>
      </c>
      <c r="E21" s="131" t="s">
        <v>622</v>
      </c>
      <c r="F21" s="131">
        <v>7</v>
      </c>
      <c r="G21" s="131"/>
      <c r="H21" s="131" t="s">
        <v>537</v>
      </c>
    </row>
    <row r="22" spans="1:8" ht="14.25" customHeight="1">
      <c r="A22" s="131"/>
      <c r="B22" s="131" t="s">
        <v>416</v>
      </c>
      <c r="C22" s="131" t="s">
        <v>444</v>
      </c>
      <c r="D22" s="246">
        <v>45866</v>
      </c>
      <c r="E22" s="131" t="s">
        <v>622</v>
      </c>
      <c r="F22" s="131">
        <v>7</v>
      </c>
      <c r="G22" s="131"/>
      <c r="H22" s="131" t="s">
        <v>537</v>
      </c>
    </row>
    <row r="23" spans="1:8" ht="14.25" customHeight="1">
      <c r="A23" s="131"/>
      <c r="B23" s="131" t="s">
        <v>416</v>
      </c>
      <c r="C23" s="131" t="s">
        <v>444</v>
      </c>
      <c r="D23" s="246">
        <v>45873</v>
      </c>
      <c r="E23" s="131" t="s">
        <v>623</v>
      </c>
      <c r="F23" s="131" t="s">
        <v>13</v>
      </c>
      <c r="G23" s="131"/>
      <c r="H23" s="131" t="s">
        <v>537</v>
      </c>
    </row>
    <row r="24" spans="1:8" ht="14.25" customHeight="1">
      <c r="A24" s="131"/>
      <c r="B24" s="131" t="s">
        <v>416</v>
      </c>
      <c r="C24" s="131" t="s">
        <v>444</v>
      </c>
      <c r="D24" s="246">
        <v>45880</v>
      </c>
      <c r="E24" s="131" t="s">
        <v>622</v>
      </c>
      <c r="F24" s="131">
        <v>7</v>
      </c>
      <c r="G24" s="131"/>
      <c r="H24" s="131" t="s">
        <v>537</v>
      </c>
    </row>
    <row r="25" spans="1:8" ht="14.25" customHeight="1">
      <c r="A25" s="131"/>
      <c r="B25" s="131" t="s">
        <v>416</v>
      </c>
      <c r="C25" s="131" t="s">
        <v>444</v>
      </c>
      <c r="D25" s="246">
        <v>45887</v>
      </c>
      <c r="E25" s="131" t="s">
        <v>622</v>
      </c>
      <c r="F25" s="131">
        <v>7</v>
      </c>
      <c r="G25" s="131"/>
      <c r="H25" s="131" t="s">
        <v>537</v>
      </c>
    </row>
    <row r="26" spans="1:8" ht="14.25" customHeight="1">
      <c r="A26" s="131"/>
      <c r="B26" s="131" t="s">
        <v>416</v>
      </c>
      <c r="C26" s="131" t="s">
        <v>444</v>
      </c>
      <c r="D26" s="246">
        <v>45894</v>
      </c>
      <c r="E26" s="131" t="s">
        <v>622</v>
      </c>
      <c r="F26" s="131">
        <v>7</v>
      </c>
      <c r="G26" s="131"/>
      <c r="H26" s="131" t="s">
        <v>537</v>
      </c>
    </row>
    <row r="27" spans="1:8" ht="14.25" customHeight="1">
      <c r="A27" s="131"/>
      <c r="B27" s="131" t="s">
        <v>416</v>
      </c>
      <c r="C27" s="131" t="s">
        <v>444</v>
      </c>
      <c r="D27" s="246">
        <v>45901</v>
      </c>
      <c r="E27" s="131" t="s">
        <v>623</v>
      </c>
      <c r="F27" s="131" t="s">
        <v>14</v>
      </c>
      <c r="G27" s="131"/>
      <c r="H27" s="131" t="s">
        <v>537</v>
      </c>
    </row>
    <row r="28" spans="1:8" ht="14.25" customHeight="1">
      <c r="A28" s="131"/>
      <c r="B28" s="131" t="s">
        <v>416</v>
      </c>
      <c r="C28" s="131" t="s">
        <v>455</v>
      </c>
      <c r="D28" s="246">
        <v>45853</v>
      </c>
      <c r="E28" s="131" t="s">
        <v>622</v>
      </c>
      <c r="F28" s="131">
        <v>7</v>
      </c>
      <c r="G28" s="131"/>
      <c r="H28" s="131" t="s">
        <v>537</v>
      </c>
    </row>
    <row r="29" spans="1:8" ht="14.25" customHeight="1">
      <c r="A29" s="131"/>
      <c r="B29" s="131" t="s">
        <v>416</v>
      </c>
      <c r="C29" s="131" t="s">
        <v>455</v>
      </c>
      <c r="D29" s="246">
        <v>45860</v>
      </c>
      <c r="E29" s="131" t="s">
        <v>622</v>
      </c>
      <c r="F29" s="131">
        <v>7</v>
      </c>
      <c r="G29" s="131"/>
      <c r="H29" s="131" t="s">
        <v>537</v>
      </c>
    </row>
    <row r="30" spans="1:8" ht="14.25" customHeight="1">
      <c r="A30" s="131"/>
      <c r="B30" s="131" t="s">
        <v>416</v>
      </c>
      <c r="C30" s="131" t="s">
        <v>455</v>
      </c>
      <c r="D30" s="246">
        <v>45867</v>
      </c>
      <c r="E30" s="131" t="s">
        <v>622</v>
      </c>
      <c r="F30" s="131">
        <v>7</v>
      </c>
      <c r="G30" s="131"/>
      <c r="H30" s="131" t="s">
        <v>537</v>
      </c>
    </row>
    <row r="31" spans="1:8" ht="14.25" customHeight="1">
      <c r="A31" s="131"/>
      <c r="B31" s="131" t="s">
        <v>416</v>
      </c>
      <c r="C31" s="131" t="s">
        <v>455</v>
      </c>
      <c r="D31" s="246">
        <v>45874</v>
      </c>
      <c r="E31" s="131" t="s">
        <v>623</v>
      </c>
      <c r="F31" s="131" t="s">
        <v>13</v>
      </c>
      <c r="G31" s="131"/>
      <c r="H31" s="131" t="s">
        <v>537</v>
      </c>
    </row>
    <row r="32" spans="1:8" ht="14.25" customHeight="1">
      <c r="A32" s="131"/>
      <c r="B32" s="131" t="s">
        <v>416</v>
      </c>
      <c r="C32" s="131" t="s">
        <v>455</v>
      </c>
      <c r="D32" s="246">
        <v>45881</v>
      </c>
      <c r="E32" s="131" t="s">
        <v>622</v>
      </c>
      <c r="F32" s="131">
        <v>7</v>
      </c>
      <c r="G32" s="131"/>
      <c r="H32" s="131" t="s">
        <v>537</v>
      </c>
    </row>
    <row r="33" spans="1:8" ht="14.25" customHeight="1">
      <c r="A33" s="131"/>
      <c r="B33" s="131" t="s">
        <v>416</v>
      </c>
      <c r="C33" s="131" t="s">
        <v>455</v>
      </c>
      <c r="D33" s="246">
        <v>45888</v>
      </c>
      <c r="E33" s="131" t="s">
        <v>622</v>
      </c>
      <c r="F33" s="131">
        <v>7</v>
      </c>
      <c r="G33" s="131"/>
      <c r="H33" s="131" t="s">
        <v>537</v>
      </c>
    </row>
    <row r="34" spans="1:8" ht="14.25" customHeight="1">
      <c r="A34" s="131"/>
      <c r="B34" s="131" t="s">
        <v>416</v>
      </c>
      <c r="C34" s="131" t="s">
        <v>455</v>
      </c>
      <c r="D34" s="246">
        <v>45895</v>
      </c>
      <c r="E34" s="131" t="s">
        <v>622</v>
      </c>
      <c r="F34" s="131">
        <v>7</v>
      </c>
      <c r="G34" s="131"/>
      <c r="H34" s="131" t="s">
        <v>537</v>
      </c>
    </row>
    <row r="35" spans="1:8" ht="14.25" customHeight="1">
      <c r="A35" s="131"/>
      <c r="B35" s="131" t="s">
        <v>416</v>
      </c>
      <c r="C35" s="131" t="s">
        <v>455</v>
      </c>
      <c r="D35" s="246">
        <v>45902</v>
      </c>
      <c r="E35" s="131" t="s">
        <v>623</v>
      </c>
      <c r="F35" s="131" t="s">
        <v>14</v>
      </c>
      <c r="G35" s="131"/>
      <c r="H35" s="131" t="s">
        <v>537</v>
      </c>
    </row>
    <row r="36" spans="1:8" ht="14.25" customHeight="1">
      <c r="A36" s="131"/>
      <c r="B36" s="131" t="s">
        <v>416</v>
      </c>
      <c r="C36" s="131" t="s">
        <v>463</v>
      </c>
      <c r="D36" s="246">
        <v>45854</v>
      </c>
      <c r="E36" s="131" t="s">
        <v>622</v>
      </c>
      <c r="F36" s="131">
        <v>7</v>
      </c>
      <c r="G36" s="131"/>
      <c r="H36" s="131" t="s">
        <v>537</v>
      </c>
    </row>
    <row r="37" spans="1:8" ht="14.25" customHeight="1">
      <c r="A37" s="131"/>
      <c r="B37" s="131" t="s">
        <v>416</v>
      </c>
      <c r="C37" s="131" t="s">
        <v>463</v>
      </c>
      <c r="D37" s="246">
        <v>45861</v>
      </c>
      <c r="E37" s="131" t="s">
        <v>622</v>
      </c>
      <c r="F37" s="131">
        <v>7</v>
      </c>
      <c r="G37" s="131"/>
      <c r="H37" s="131" t="s">
        <v>537</v>
      </c>
    </row>
    <row r="38" spans="1:8" ht="14.25" customHeight="1">
      <c r="A38" s="131"/>
      <c r="B38" s="131" t="s">
        <v>416</v>
      </c>
      <c r="C38" s="131" t="s">
        <v>463</v>
      </c>
      <c r="D38" s="246">
        <v>45868</v>
      </c>
      <c r="E38" s="131" t="s">
        <v>622</v>
      </c>
      <c r="F38" s="131">
        <v>7</v>
      </c>
      <c r="G38" s="131"/>
      <c r="H38" s="131" t="s">
        <v>537</v>
      </c>
    </row>
    <row r="39" spans="1:8" ht="14.25" customHeight="1">
      <c r="A39" s="131"/>
      <c r="B39" s="131" t="s">
        <v>416</v>
      </c>
      <c r="C39" s="131" t="s">
        <v>463</v>
      </c>
      <c r="D39" s="246">
        <v>45875</v>
      </c>
      <c r="E39" s="131" t="s">
        <v>623</v>
      </c>
      <c r="F39" s="131" t="s">
        <v>13</v>
      </c>
      <c r="G39" s="131"/>
      <c r="H39" s="131" t="s">
        <v>537</v>
      </c>
    </row>
    <row r="40" spans="1:8" ht="14.25" customHeight="1">
      <c r="A40" s="131"/>
      <c r="B40" s="131" t="s">
        <v>416</v>
      </c>
      <c r="C40" s="131" t="s">
        <v>463</v>
      </c>
      <c r="D40" s="246">
        <v>45882</v>
      </c>
      <c r="E40" s="131" t="s">
        <v>622</v>
      </c>
      <c r="F40" s="131">
        <v>7</v>
      </c>
      <c r="G40" s="131"/>
      <c r="H40" s="131" t="s">
        <v>537</v>
      </c>
    </row>
    <row r="41" spans="1:8" ht="14.25" customHeight="1">
      <c r="A41" s="131"/>
      <c r="B41" s="131" t="s">
        <v>416</v>
      </c>
      <c r="C41" s="131" t="s">
        <v>463</v>
      </c>
      <c r="D41" s="246">
        <v>45889</v>
      </c>
      <c r="E41" s="131" t="s">
        <v>622</v>
      </c>
      <c r="F41" s="131">
        <v>7</v>
      </c>
      <c r="G41" s="131"/>
      <c r="H41" s="131" t="s">
        <v>537</v>
      </c>
    </row>
    <row r="42" spans="1:8" ht="14.25" customHeight="1">
      <c r="A42" s="131"/>
      <c r="B42" s="131" t="s">
        <v>416</v>
      </c>
      <c r="C42" s="131" t="s">
        <v>463</v>
      </c>
      <c r="D42" s="246">
        <v>45896</v>
      </c>
      <c r="E42" s="131" t="s">
        <v>622</v>
      </c>
      <c r="F42" s="131">
        <v>7</v>
      </c>
      <c r="G42" s="131"/>
      <c r="H42" s="131" t="s">
        <v>537</v>
      </c>
    </row>
    <row r="43" spans="1:8" ht="14.25" customHeight="1">
      <c r="A43" s="131"/>
      <c r="B43" s="131" t="s">
        <v>416</v>
      </c>
      <c r="C43" s="131" t="s">
        <v>463</v>
      </c>
      <c r="D43" s="246">
        <v>45903</v>
      </c>
      <c r="E43" s="131" t="s">
        <v>623</v>
      </c>
      <c r="F43" s="131" t="s">
        <v>14</v>
      </c>
      <c r="G43" s="131"/>
      <c r="H43" s="131" t="s">
        <v>537</v>
      </c>
    </row>
    <row r="44" spans="1:8" ht="14.25" customHeight="1">
      <c r="A44" s="131"/>
      <c r="B44" s="131" t="s">
        <v>619</v>
      </c>
      <c r="C44" s="131" t="s">
        <v>458</v>
      </c>
      <c r="D44" s="246">
        <v>45852</v>
      </c>
      <c r="E44" s="131" t="s">
        <v>622</v>
      </c>
      <c r="F44" s="131">
        <v>7</v>
      </c>
      <c r="G44" s="131"/>
      <c r="H44" s="131" t="s">
        <v>624</v>
      </c>
    </row>
    <row r="45" spans="1:8" ht="14.25" customHeight="1">
      <c r="A45" s="131"/>
      <c r="B45" s="131" t="s">
        <v>619</v>
      </c>
      <c r="C45" s="131" t="s">
        <v>458</v>
      </c>
      <c r="D45" s="246">
        <v>45859</v>
      </c>
      <c r="E45" s="131" t="s">
        <v>622</v>
      </c>
      <c r="F45" s="131">
        <v>7</v>
      </c>
      <c r="G45" s="131"/>
      <c r="H45" s="131" t="s">
        <v>624</v>
      </c>
    </row>
    <row r="46" spans="1:8" ht="14.25" customHeight="1">
      <c r="A46" s="131"/>
      <c r="B46" s="131" t="s">
        <v>619</v>
      </c>
      <c r="C46" s="131" t="s">
        <v>458</v>
      </c>
      <c r="D46" s="246">
        <v>45866</v>
      </c>
      <c r="E46" s="131" t="s">
        <v>622</v>
      </c>
      <c r="F46" s="131">
        <v>7</v>
      </c>
      <c r="G46" s="131"/>
      <c r="H46" s="131" t="s">
        <v>624</v>
      </c>
    </row>
    <row r="47" spans="1:8" ht="14.25" customHeight="1">
      <c r="A47" s="131"/>
      <c r="B47" s="131" t="s">
        <v>619</v>
      </c>
      <c r="C47" s="131" t="s">
        <v>458</v>
      </c>
      <c r="D47" s="246">
        <v>45873</v>
      </c>
      <c r="E47" s="131" t="s">
        <v>623</v>
      </c>
      <c r="F47" s="131" t="s">
        <v>13</v>
      </c>
      <c r="G47" s="131"/>
      <c r="H47" s="131" t="s">
        <v>624</v>
      </c>
    </row>
    <row r="48" spans="1:8" ht="14.25" customHeight="1">
      <c r="A48" s="131"/>
      <c r="B48" s="131" t="s">
        <v>619</v>
      </c>
      <c r="C48" s="131" t="s">
        <v>458</v>
      </c>
      <c r="D48" s="246">
        <v>45880</v>
      </c>
      <c r="E48" s="131" t="s">
        <v>622</v>
      </c>
      <c r="F48" s="131">
        <v>7</v>
      </c>
      <c r="G48" s="131"/>
      <c r="H48" s="131" t="s">
        <v>624</v>
      </c>
    </row>
    <row r="49" spans="1:8" ht="14.25" customHeight="1">
      <c r="A49" s="131"/>
      <c r="B49" s="131" t="s">
        <v>619</v>
      </c>
      <c r="C49" s="131" t="s">
        <v>458</v>
      </c>
      <c r="D49" s="246">
        <v>45887</v>
      </c>
      <c r="E49" s="131" t="s">
        <v>622</v>
      </c>
      <c r="F49" s="131">
        <v>7</v>
      </c>
      <c r="G49" s="131"/>
      <c r="H49" s="131" t="s">
        <v>624</v>
      </c>
    </row>
    <row r="50" spans="1:8" ht="14.25" customHeight="1">
      <c r="A50" s="131"/>
      <c r="B50" s="131" t="s">
        <v>619</v>
      </c>
      <c r="C50" s="131" t="s">
        <v>458</v>
      </c>
      <c r="D50" s="246">
        <v>45894</v>
      </c>
      <c r="E50" s="131" t="s">
        <v>622</v>
      </c>
      <c r="F50" s="131">
        <v>7</v>
      </c>
      <c r="G50" s="131"/>
      <c r="H50" s="131" t="s">
        <v>624</v>
      </c>
    </row>
    <row r="51" spans="1:8" ht="14.25" customHeight="1">
      <c r="A51" s="131"/>
      <c r="B51" s="131" t="s">
        <v>619</v>
      </c>
      <c r="C51" s="131" t="s">
        <v>458</v>
      </c>
      <c r="D51" s="246">
        <v>45901</v>
      </c>
      <c r="E51" s="131" t="s">
        <v>623</v>
      </c>
      <c r="F51" s="131" t="s">
        <v>14</v>
      </c>
      <c r="G51" s="131"/>
      <c r="H51" s="131" t="s">
        <v>624</v>
      </c>
    </row>
    <row r="52" spans="1:8" ht="14.25" customHeight="1">
      <c r="A52" s="131"/>
      <c r="B52" s="131" t="s">
        <v>619</v>
      </c>
      <c r="C52" s="131" t="s">
        <v>466</v>
      </c>
      <c r="D52" s="246">
        <v>45853</v>
      </c>
      <c r="E52" s="131" t="s">
        <v>622</v>
      </c>
      <c r="F52" s="131">
        <v>7</v>
      </c>
      <c r="G52" s="131"/>
      <c r="H52" s="131" t="s">
        <v>624</v>
      </c>
    </row>
    <row r="53" spans="1:8" ht="14.25" customHeight="1">
      <c r="A53" s="131"/>
      <c r="B53" s="131" t="s">
        <v>619</v>
      </c>
      <c r="C53" s="131" t="s">
        <v>466</v>
      </c>
      <c r="D53" s="246">
        <v>45860</v>
      </c>
      <c r="E53" s="131" t="s">
        <v>622</v>
      </c>
      <c r="F53" s="131">
        <v>7</v>
      </c>
      <c r="G53" s="131"/>
      <c r="H53" s="131" t="s">
        <v>624</v>
      </c>
    </row>
    <row r="54" spans="1:8" ht="14.25" customHeight="1">
      <c r="A54" s="131"/>
      <c r="B54" s="131" t="s">
        <v>619</v>
      </c>
      <c r="C54" s="131" t="s">
        <v>466</v>
      </c>
      <c r="D54" s="246">
        <v>45867</v>
      </c>
      <c r="E54" s="131" t="s">
        <v>622</v>
      </c>
      <c r="F54" s="131">
        <v>7</v>
      </c>
      <c r="G54" s="131"/>
      <c r="H54" s="131" t="s">
        <v>624</v>
      </c>
    </row>
    <row r="55" spans="1:8" ht="14.25" customHeight="1">
      <c r="A55" s="131"/>
      <c r="B55" s="131" t="s">
        <v>619</v>
      </c>
      <c r="C55" s="131" t="s">
        <v>466</v>
      </c>
      <c r="D55" s="246">
        <v>45874</v>
      </c>
      <c r="E55" s="131" t="s">
        <v>623</v>
      </c>
      <c r="F55" s="131" t="s">
        <v>13</v>
      </c>
      <c r="G55" s="131"/>
      <c r="H55" s="131" t="s">
        <v>624</v>
      </c>
    </row>
    <row r="56" spans="1:8" ht="14.25" customHeight="1">
      <c r="A56" s="131"/>
      <c r="B56" s="131" t="s">
        <v>619</v>
      </c>
      <c r="C56" s="131" t="s">
        <v>466</v>
      </c>
      <c r="D56" s="246">
        <v>45881</v>
      </c>
      <c r="E56" s="131" t="s">
        <v>622</v>
      </c>
      <c r="F56" s="131">
        <v>7</v>
      </c>
      <c r="G56" s="131"/>
      <c r="H56" s="131" t="s">
        <v>624</v>
      </c>
    </row>
    <row r="57" spans="1:8" ht="14.25" customHeight="1">
      <c r="A57" s="131"/>
      <c r="B57" s="131" t="s">
        <v>619</v>
      </c>
      <c r="C57" s="131" t="s">
        <v>466</v>
      </c>
      <c r="D57" s="246">
        <v>45888</v>
      </c>
      <c r="E57" s="131" t="s">
        <v>622</v>
      </c>
      <c r="F57" s="131">
        <v>7</v>
      </c>
      <c r="G57" s="131"/>
      <c r="H57" s="131" t="s">
        <v>624</v>
      </c>
    </row>
    <row r="58" spans="1:8" ht="14.25" customHeight="1">
      <c r="A58" s="131"/>
      <c r="B58" s="131" t="s">
        <v>619</v>
      </c>
      <c r="C58" s="131" t="s">
        <v>466</v>
      </c>
      <c r="D58" s="246">
        <v>45895</v>
      </c>
      <c r="E58" s="131" t="s">
        <v>622</v>
      </c>
      <c r="F58" s="131">
        <v>7</v>
      </c>
      <c r="G58" s="131"/>
      <c r="H58" s="131" t="s">
        <v>624</v>
      </c>
    </row>
    <row r="59" spans="1:8" ht="14.25" customHeight="1">
      <c r="A59" s="131"/>
      <c r="B59" s="131" t="s">
        <v>619</v>
      </c>
      <c r="C59" s="131" t="s">
        <v>466</v>
      </c>
      <c r="D59" s="246">
        <v>45902</v>
      </c>
      <c r="E59" s="131" t="s">
        <v>623</v>
      </c>
      <c r="F59" s="131" t="s">
        <v>14</v>
      </c>
      <c r="G59" s="131"/>
      <c r="H59" s="131" t="s">
        <v>624</v>
      </c>
    </row>
    <row r="60" spans="1:8" ht="14.25" customHeight="1">
      <c r="A60" s="131"/>
      <c r="B60" s="131" t="s">
        <v>620</v>
      </c>
      <c r="C60" s="131" t="s">
        <v>432</v>
      </c>
      <c r="D60" s="246">
        <v>45852</v>
      </c>
      <c r="E60" s="131" t="s">
        <v>622</v>
      </c>
      <c r="F60" s="131">
        <v>7</v>
      </c>
      <c r="G60" s="131"/>
      <c r="H60" s="131" t="s">
        <v>20</v>
      </c>
    </row>
    <row r="61" spans="1:8" ht="14.25" customHeight="1">
      <c r="A61" s="131"/>
      <c r="B61" s="131" t="s">
        <v>620</v>
      </c>
      <c r="C61" s="131" t="s">
        <v>432</v>
      </c>
      <c r="D61" s="246">
        <v>45859</v>
      </c>
      <c r="E61" s="131" t="s">
        <v>622</v>
      </c>
      <c r="F61" s="131">
        <v>7</v>
      </c>
      <c r="G61" s="131"/>
      <c r="H61" s="131" t="s">
        <v>20</v>
      </c>
    </row>
    <row r="62" spans="1:8" ht="14.25" customHeight="1">
      <c r="A62" s="131"/>
      <c r="B62" s="131" t="s">
        <v>620</v>
      </c>
      <c r="C62" s="131" t="s">
        <v>432</v>
      </c>
      <c r="D62" s="246">
        <v>45866</v>
      </c>
      <c r="E62" s="131" t="s">
        <v>622</v>
      </c>
      <c r="F62" s="131">
        <v>7</v>
      </c>
      <c r="G62" s="131"/>
      <c r="H62" s="131" t="s">
        <v>20</v>
      </c>
    </row>
    <row r="63" spans="1:8" ht="14.25" customHeight="1">
      <c r="A63" s="131"/>
      <c r="B63" s="131" t="s">
        <v>620</v>
      </c>
      <c r="C63" s="131" t="s">
        <v>432</v>
      </c>
      <c r="D63" s="246">
        <v>45873</v>
      </c>
      <c r="E63" s="131" t="s">
        <v>623</v>
      </c>
      <c r="F63" s="131" t="s">
        <v>13</v>
      </c>
      <c r="G63" s="131"/>
      <c r="H63" s="131" t="s">
        <v>20</v>
      </c>
    </row>
    <row r="64" spans="1:8" ht="14.25" customHeight="1">
      <c r="A64" s="131"/>
      <c r="B64" s="131" t="s">
        <v>620</v>
      </c>
      <c r="C64" s="131" t="s">
        <v>432</v>
      </c>
      <c r="D64" s="246">
        <v>45880</v>
      </c>
      <c r="E64" s="131" t="s">
        <v>622</v>
      </c>
      <c r="F64" s="131">
        <v>7</v>
      </c>
      <c r="G64" s="131"/>
      <c r="H64" s="131" t="s">
        <v>20</v>
      </c>
    </row>
    <row r="65" spans="1:8" ht="14.25" customHeight="1">
      <c r="A65" s="131"/>
      <c r="B65" s="131" t="s">
        <v>620</v>
      </c>
      <c r="C65" s="131" t="s">
        <v>432</v>
      </c>
      <c r="D65" s="246">
        <v>45887</v>
      </c>
      <c r="E65" s="131" t="s">
        <v>622</v>
      </c>
      <c r="F65" s="131">
        <v>7</v>
      </c>
      <c r="G65" s="131"/>
      <c r="H65" s="131" t="s">
        <v>20</v>
      </c>
    </row>
    <row r="66" spans="1:8" ht="14.25" customHeight="1">
      <c r="A66" s="131"/>
      <c r="B66" s="131" t="s">
        <v>620</v>
      </c>
      <c r="C66" s="131" t="s">
        <v>432</v>
      </c>
      <c r="D66" s="246">
        <v>45894</v>
      </c>
      <c r="E66" s="131" t="s">
        <v>622</v>
      </c>
      <c r="F66" s="131">
        <v>7</v>
      </c>
      <c r="G66" s="131"/>
      <c r="H66" s="131" t="s">
        <v>20</v>
      </c>
    </row>
    <row r="67" spans="1:8" ht="14.25" customHeight="1">
      <c r="A67" s="131"/>
      <c r="B67" s="131" t="s">
        <v>620</v>
      </c>
      <c r="C67" s="131" t="s">
        <v>432</v>
      </c>
      <c r="D67" s="246">
        <v>45901</v>
      </c>
      <c r="E67" s="131" t="s">
        <v>623</v>
      </c>
      <c r="F67" s="131" t="s">
        <v>14</v>
      </c>
      <c r="G67" s="131"/>
      <c r="H67" s="131" t="s">
        <v>20</v>
      </c>
    </row>
    <row r="68" spans="1:8" ht="14.25" customHeight="1">
      <c r="A68" s="131"/>
      <c r="B68" s="131" t="s">
        <v>620</v>
      </c>
      <c r="C68" s="131" t="s">
        <v>447</v>
      </c>
      <c r="D68" s="246">
        <v>45853</v>
      </c>
      <c r="E68" s="131" t="s">
        <v>622</v>
      </c>
      <c r="F68" s="131">
        <v>7</v>
      </c>
      <c r="G68" s="131"/>
      <c r="H68" s="131" t="s">
        <v>20</v>
      </c>
    </row>
    <row r="69" spans="1:8" ht="14.25" customHeight="1">
      <c r="A69" s="131"/>
      <c r="B69" s="131" t="s">
        <v>620</v>
      </c>
      <c r="C69" s="131" t="s">
        <v>447</v>
      </c>
      <c r="D69" s="246">
        <v>45860</v>
      </c>
      <c r="E69" s="131" t="s">
        <v>622</v>
      </c>
      <c r="F69" s="131">
        <v>7</v>
      </c>
      <c r="G69" s="131"/>
      <c r="H69" s="131" t="s">
        <v>20</v>
      </c>
    </row>
    <row r="70" spans="1:8" ht="14.25" customHeight="1">
      <c r="A70" s="131"/>
      <c r="B70" s="131" t="s">
        <v>620</v>
      </c>
      <c r="C70" s="131" t="s">
        <v>447</v>
      </c>
      <c r="D70" s="246">
        <v>45867</v>
      </c>
      <c r="E70" s="131" t="s">
        <v>622</v>
      </c>
      <c r="F70" s="131">
        <v>7</v>
      </c>
      <c r="G70" s="131"/>
      <c r="H70" s="131" t="s">
        <v>20</v>
      </c>
    </row>
    <row r="71" spans="1:8" ht="14.25" customHeight="1">
      <c r="A71" s="131"/>
      <c r="B71" s="131" t="s">
        <v>620</v>
      </c>
      <c r="C71" s="131" t="s">
        <v>447</v>
      </c>
      <c r="D71" s="246">
        <v>45874</v>
      </c>
      <c r="E71" s="131" t="s">
        <v>623</v>
      </c>
      <c r="F71" s="131" t="s">
        <v>13</v>
      </c>
      <c r="G71" s="131"/>
      <c r="H71" s="131" t="s">
        <v>20</v>
      </c>
    </row>
    <row r="72" spans="1:8" ht="14.25" customHeight="1">
      <c r="A72" s="131"/>
      <c r="B72" s="131" t="s">
        <v>620</v>
      </c>
      <c r="C72" s="131" t="s">
        <v>447</v>
      </c>
      <c r="D72" s="246">
        <v>45881</v>
      </c>
      <c r="E72" s="131" t="s">
        <v>622</v>
      </c>
      <c r="F72" s="131">
        <v>7</v>
      </c>
      <c r="G72" s="131"/>
      <c r="H72" s="131" t="s">
        <v>20</v>
      </c>
    </row>
    <row r="73" spans="1:8" ht="14.25" customHeight="1">
      <c r="A73" s="131"/>
      <c r="B73" s="131" t="s">
        <v>620</v>
      </c>
      <c r="C73" s="131" t="s">
        <v>447</v>
      </c>
      <c r="D73" s="246">
        <v>45888</v>
      </c>
      <c r="E73" s="131" t="s">
        <v>622</v>
      </c>
      <c r="F73" s="131">
        <v>7</v>
      </c>
      <c r="G73" s="131"/>
      <c r="H73" s="131" t="s">
        <v>20</v>
      </c>
    </row>
    <row r="74" spans="1:8" ht="14.25" customHeight="1">
      <c r="A74" s="131"/>
      <c r="B74" s="131" t="s">
        <v>620</v>
      </c>
      <c r="C74" s="131" t="s">
        <v>447</v>
      </c>
      <c r="D74" s="246">
        <v>45895</v>
      </c>
      <c r="E74" s="131" t="s">
        <v>622</v>
      </c>
      <c r="F74" s="131">
        <v>7</v>
      </c>
      <c r="G74" s="131"/>
      <c r="H74" s="131" t="s">
        <v>20</v>
      </c>
    </row>
    <row r="75" spans="1:8" ht="14.25" customHeight="1">
      <c r="A75" s="131"/>
      <c r="B75" s="131" t="s">
        <v>620</v>
      </c>
      <c r="C75" s="131" t="s">
        <v>447</v>
      </c>
      <c r="D75" s="246">
        <v>45902</v>
      </c>
      <c r="E75" s="131" t="s">
        <v>623</v>
      </c>
      <c r="F75" s="131" t="s">
        <v>14</v>
      </c>
      <c r="G75" s="131"/>
      <c r="H75" s="131" t="s">
        <v>20</v>
      </c>
    </row>
    <row r="76" spans="1:8" ht="14.25" customHeight="1">
      <c r="A76" s="131"/>
      <c r="B76" s="131" t="s">
        <v>620</v>
      </c>
      <c r="C76" s="131" t="s">
        <v>463</v>
      </c>
      <c r="D76" s="246">
        <v>45854</v>
      </c>
      <c r="E76" s="131" t="s">
        <v>622</v>
      </c>
      <c r="F76" s="131">
        <v>7</v>
      </c>
      <c r="G76" s="131"/>
      <c r="H76" s="131" t="s">
        <v>20</v>
      </c>
    </row>
    <row r="77" spans="1:8" ht="14.25" customHeight="1">
      <c r="A77" s="131"/>
      <c r="B77" s="131" t="s">
        <v>620</v>
      </c>
      <c r="C77" s="131" t="s">
        <v>463</v>
      </c>
      <c r="D77" s="246">
        <v>45861</v>
      </c>
      <c r="E77" s="131" t="s">
        <v>622</v>
      </c>
      <c r="F77" s="131">
        <v>7</v>
      </c>
      <c r="G77" s="131"/>
      <c r="H77" s="131" t="s">
        <v>20</v>
      </c>
    </row>
    <row r="78" spans="1:8" ht="14.25" customHeight="1">
      <c r="A78" s="131"/>
      <c r="B78" s="131" t="s">
        <v>620</v>
      </c>
      <c r="C78" s="131" t="s">
        <v>463</v>
      </c>
      <c r="D78" s="246">
        <v>45868</v>
      </c>
      <c r="E78" s="131" t="s">
        <v>622</v>
      </c>
      <c r="F78" s="131">
        <v>7</v>
      </c>
      <c r="G78" s="131"/>
      <c r="H78" s="131" t="s">
        <v>20</v>
      </c>
    </row>
    <row r="79" spans="1:8" ht="14.25" customHeight="1">
      <c r="A79" s="131"/>
      <c r="B79" s="131" t="s">
        <v>620</v>
      </c>
      <c r="C79" s="131" t="s">
        <v>463</v>
      </c>
      <c r="D79" s="246">
        <v>45875</v>
      </c>
      <c r="E79" s="131" t="s">
        <v>623</v>
      </c>
      <c r="F79" s="131" t="s">
        <v>13</v>
      </c>
      <c r="G79" s="131"/>
      <c r="H79" s="131" t="s">
        <v>20</v>
      </c>
    </row>
    <row r="80" spans="1:8" ht="14.25" customHeight="1">
      <c r="A80" s="131"/>
      <c r="B80" s="131" t="s">
        <v>620</v>
      </c>
      <c r="C80" s="131" t="s">
        <v>463</v>
      </c>
      <c r="D80" s="246">
        <v>45882</v>
      </c>
      <c r="E80" s="131" t="s">
        <v>622</v>
      </c>
      <c r="F80" s="131">
        <v>7</v>
      </c>
      <c r="G80" s="131"/>
      <c r="H80" s="131" t="s">
        <v>20</v>
      </c>
    </row>
    <row r="81" spans="1:8" ht="14.25" customHeight="1">
      <c r="A81" s="131"/>
      <c r="B81" s="131" t="s">
        <v>620</v>
      </c>
      <c r="C81" s="131" t="s">
        <v>463</v>
      </c>
      <c r="D81" s="246">
        <v>45889</v>
      </c>
      <c r="E81" s="131" t="s">
        <v>622</v>
      </c>
      <c r="F81" s="131">
        <v>7</v>
      </c>
      <c r="G81" s="131"/>
      <c r="H81" s="131" t="s">
        <v>20</v>
      </c>
    </row>
    <row r="82" spans="1:8" ht="14.25" customHeight="1">
      <c r="A82" s="131"/>
      <c r="B82" s="131" t="s">
        <v>620</v>
      </c>
      <c r="C82" s="131" t="s">
        <v>463</v>
      </c>
      <c r="D82" s="246">
        <v>45896</v>
      </c>
      <c r="E82" s="131" t="s">
        <v>622</v>
      </c>
      <c r="F82" s="131">
        <v>7</v>
      </c>
      <c r="G82" s="131"/>
      <c r="H82" s="131" t="s">
        <v>20</v>
      </c>
    </row>
    <row r="83" spans="1:8" ht="14.25" customHeight="1">
      <c r="A83" s="131"/>
      <c r="B83" s="131" t="s">
        <v>620</v>
      </c>
      <c r="C83" s="131" t="s">
        <v>463</v>
      </c>
      <c r="D83" s="246">
        <v>45903</v>
      </c>
      <c r="E83" s="131" t="s">
        <v>623</v>
      </c>
      <c r="F83" s="131" t="s">
        <v>14</v>
      </c>
      <c r="G83" s="131"/>
      <c r="H83" s="131" t="s">
        <v>20</v>
      </c>
    </row>
    <row r="84" spans="1:8" ht="14.25" customHeight="1">
      <c r="A84" s="22"/>
      <c r="B84" s="22" t="s">
        <v>552</v>
      </c>
      <c r="C84" s="22" t="s">
        <v>458</v>
      </c>
      <c r="D84" s="247">
        <v>45850</v>
      </c>
      <c r="E84" s="22" t="s">
        <v>625</v>
      </c>
      <c r="F84" s="22">
        <v>11</v>
      </c>
      <c r="G84" s="22"/>
      <c r="H84" s="22" t="s">
        <v>47</v>
      </c>
    </row>
    <row r="85" spans="1:8" ht="14.25" customHeight="1">
      <c r="A85" s="22"/>
      <c r="B85" s="22" t="s">
        <v>552</v>
      </c>
      <c r="C85" s="22" t="s">
        <v>458</v>
      </c>
      <c r="D85" s="247">
        <v>45851</v>
      </c>
      <c r="E85" s="22" t="s">
        <v>626</v>
      </c>
      <c r="F85" s="22">
        <v>10</v>
      </c>
      <c r="G85" s="22"/>
      <c r="H85" s="22" t="s">
        <v>47</v>
      </c>
    </row>
    <row r="86" spans="1:8" ht="14.25" customHeight="1">
      <c r="A86" s="22"/>
      <c r="B86" s="22" t="s">
        <v>552</v>
      </c>
      <c r="C86" s="22" t="s">
        <v>458</v>
      </c>
      <c r="D86" s="247">
        <v>45857</v>
      </c>
      <c r="E86" s="22" t="s">
        <v>623</v>
      </c>
      <c r="F86" s="22" t="s">
        <v>13</v>
      </c>
      <c r="G86" s="22"/>
      <c r="H86" s="22" t="s">
        <v>47</v>
      </c>
    </row>
    <row r="87" spans="1:8" ht="14.25" customHeight="1">
      <c r="A87" s="22"/>
      <c r="B87" s="22" t="s">
        <v>552</v>
      </c>
      <c r="C87" s="22" t="s">
        <v>458</v>
      </c>
      <c r="D87" s="247">
        <v>45864</v>
      </c>
      <c r="E87" s="22" t="s">
        <v>625</v>
      </c>
      <c r="F87" s="22">
        <v>11</v>
      </c>
      <c r="G87" s="22"/>
      <c r="H87" s="22" t="s">
        <v>47</v>
      </c>
    </row>
    <row r="88" spans="1:8" ht="14.25" customHeight="1">
      <c r="A88" s="22"/>
      <c r="B88" s="22" t="s">
        <v>552</v>
      </c>
      <c r="C88" s="22" t="s">
        <v>458</v>
      </c>
      <c r="D88" s="247">
        <v>45865</v>
      </c>
      <c r="E88" s="22" t="s">
        <v>626</v>
      </c>
      <c r="F88" s="22">
        <v>10</v>
      </c>
      <c r="G88" s="22"/>
      <c r="H88" s="22" t="s">
        <v>47</v>
      </c>
    </row>
    <row r="89" spans="1:8" ht="14.25" customHeight="1">
      <c r="A89" s="22"/>
      <c r="B89" s="22" t="s">
        <v>552</v>
      </c>
      <c r="C89" s="22" t="s">
        <v>458</v>
      </c>
      <c r="D89" s="247">
        <v>45871</v>
      </c>
      <c r="E89" s="22" t="s">
        <v>623</v>
      </c>
      <c r="F89" s="22" t="s">
        <v>14</v>
      </c>
      <c r="G89" s="22"/>
      <c r="H89" s="22" t="s">
        <v>47</v>
      </c>
    </row>
    <row r="90" spans="1:8" ht="14.25" customHeight="1">
      <c r="A90" s="22"/>
      <c r="B90" s="22" t="s">
        <v>552</v>
      </c>
      <c r="C90" s="22" t="s">
        <v>466</v>
      </c>
      <c r="D90" s="247">
        <v>45878</v>
      </c>
      <c r="E90" s="22" t="s">
        <v>625</v>
      </c>
      <c r="F90" s="22">
        <v>11</v>
      </c>
      <c r="G90" s="22"/>
      <c r="H90" s="22" t="s">
        <v>47</v>
      </c>
    </row>
    <row r="91" spans="1:8" ht="14.25" customHeight="1">
      <c r="A91" s="22"/>
      <c r="B91" s="22" t="s">
        <v>552</v>
      </c>
      <c r="C91" s="22" t="s">
        <v>466</v>
      </c>
      <c r="D91" s="247">
        <v>45879</v>
      </c>
      <c r="E91" s="22" t="s">
        <v>626</v>
      </c>
      <c r="F91" s="22">
        <v>10</v>
      </c>
      <c r="G91" s="22"/>
      <c r="H91" s="22" t="s">
        <v>47</v>
      </c>
    </row>
    <row r="92" spans="1:8" ht="14.25" customHeight="1">
      <c r="A92" s="22"/>
      <c r="B92" s="22" t="s">
        <v>552</v>
      </c>
      <c r="C92" s="22" t="s">
        <v>466</v>
      </c>
      <c r="D92" s="247">
        <v>45885</v>
      </c>
      <c r="E92" s="22" t="s">
        <v>623</v>
      </c>
      <c r="F92" s="22" t="s">
        <v>13</v>
      </c>
      <c r="G92" s="22"/>
      <c r="H92" s="22" t="s">
        <v>47</v>
      </c>
    </row>
    <row r="93" spans="1:8" ht="14.25" customHeight="1">
      <c r="A93" s="22"/>
      <c r="B93" s="22" t="s">
        <v>552</v>
      </c>
      <c r="C93" s="22" t="s">
        <v>466</v>
      </c>
      <c r="D93" s="247">
        <v>45892</v>
      </c>
      <c r="E93" s="22" t="s">
        <v>625</v>
      </c>
      <c r="F93" s="22">
        <v>11</v>
      </c>
      <c r="G93" s="22"/>
      <c r="H93" s="22" t="s">
        <v>47</v>
      </c>
    </row>
    <row r="94" spans="1:8" ht="14.25" customHeight="1">
      <c r="A94" s="22"/>
      <c r="B94" s="22" t="s">
        <v>552</v>
      </c>
      <c r="C94" s="22" t="s">
        <v>466</v>
      </c>
      <c r="D94" s="247">
        <v>45893</v>
      </c>
      <c r="E94" s="22" t="s">
        <v>626</v>
      </c>
      <c r="F94" s="22">
        <v>10</v>
      </c>
      <c r="G94" s="22"/>
      <c r="H94" s="22" t="s">
        <v>47</v>
      </c>
    </row>
    <row r="95" spans="1:8" ht="14.25" customHeight="1">
      <c r="A95" s="22"/>
      <c r="B95" s="22" t="s">
        <v>552</v>
      </c>
      <c r="C95" s="22" t="s">
        <v>466</v>
      </c>
      <c r="D95" s="247">
        <v>45899</v>
      </c>
      <c r="E95" s="22" t="s">
        <v>623</v>
      </c>
      <c r="F95" s="22" t="s">
        <v>14</v>
      </c>
      <c r="G95" s="22"/>
      <c r="H95" s="22" t="s">
        <v>47</v>
      </c>
    </row>
    <row r="96" spans="1:8" ht="14.25" customHeight="1">
      <c r="A96" s="131"/>
      <c r="B96" s="131" t="s">
        <v>553</v>
      </c>
      <c r="C96" s="131" t="s">
        <v>432</v>
      </c>
      <c r="D96" s="246">
        <v>45850</v>
      </c>
      <c r="E96" s="131" t="s">
        <v>625</v>
      </c>
      <c r="F96" s="131">
        <v>11</v>
      </c>
      <c r="G96" s="131"/>
      <c r="H96" s="131" t="s">
        <v>20</v>
      </c>
    </row>
    <row r="97" spans="1:8" ht="14.25" customHeight="1">
      <c r="A97" s="131"/>
      <c r="B97" s="131" t="s">
        <v>553</v>
      </c>
      <c r="C97" s="131" t="s">
        <v>432</v>
      </c>
      <c r="D97" s="246">
        <v>45851</v>
      </c>
      <c r="E97" s="131" t="s">
        <v>626</v>
      </c>
      <c r="F97" s="131">
        <v>10</v>
      </c>
      <c r="G97" s="131"/>
      <c r="H97" s="131" t="s">
        <v>20</v>
      </c>
    </row>
    <row r="98" spans="1:8" ht="14.25" customHeight="1">
      <c r="A98" s="131"/>
      <c r="B98" s="131" t="s">
        <v>553</v>
      </c>
      <c r="C98" s="131" t="s">
        <v>432</v>
      </c>
      <c r="D98" s="246">
        <v>45857</v>
      </c>
      <c r="E98" s="131" t="s">
        <v>623</v>
      </c>
      <c r="F98" s="131" t="s">
        <v>13</v>
      </c>
      <c r="G98" s="131"/>
      <c r="H98" s="131" t="s">
        <v>20</v>
      </c>
    </row>
    <row r="99" spans="1:8" ht="14.25" customHeight="1">
      <c r="A99" s="131"/>
      <c r="B99" s="131" t="s">
        <v>553</v>
      </c>
      <c r="C99" s="131" t="s">
        <v>432</v>
      </c>
      <c r="D99" s="246">
        <v>45864</v>
      </c>
      <c r="E99" s="131" t="s">
        <v>625</v>
      </c>
      <c r="F99" s="131">
        <v>11</v>
      </c>
      <c r="G99" s="131"/>
      <c r="H99" s="131" t="s">
        <v>20</v>
      </c>
    </row>
    <row r="100" spans="1:8" ht="14.25" customHeight="1">
      <c r="A100" s="131"/>
      <c r="B100" s="131" t="s">
        <v>553</v>
      </c>
      <c r="C100" s="131" t="s">
        <v>432</v>
      </c>
      <c r="D100" s="246">
        <v>45865</v>
      </c>
      <c r="E100" s="131" t="s">
        <v>626</v>
      </c>
      <c r="F100" s="131">
        <v>10</v>
      </c>
      <c r="G100" s="131"/>
      <c r="H100" s="131" t="s">
        <v>20</v>
      </c>
    </row>
    <row r="101" spans="1:8" ht="14.25" customHeight="1">
      <c r="A101" s="131"/>
      <c r="B101" s="131" t="s">
        <v>553</v>
      </c>
      <c r="C101" s="131" t="s">
        <v>432</v>
      </c>
      <c r="D101" s="246">
        <v>45871</v>
      </c>
      <c r="E101" s="131" t="s">
        <v>623</v>
      </c>
      <c r="F101" s="131" t="s">
        <v>14</v>
      </c>
      <c r="G101" s="131"/>
      <c r="H101" s="131" t="s">
        <v>20</v>
      </c>
    </row>
    <row r="102" spans="1:8" ht="14.25" customHeight="1">
      <c r="A102" s="131"/>
      <c r="B102" s="131" t="s">
        <v>553</v>
      </c>
      <c r="C102" s="131" t="s">
        <v>447</v>
      </c>
      <c r="D102" s="246">
        <v>45878</v>
      </c>
      <c r="E102" s="131" t="s">
        <v>625</v>
      </c>
      <c r="F102" s="131">
        <v>11</v>
      </c>
      <c r="G102" s="131"/>
      <c r="H102" s="131" t="s">
        <v>20</v>
      </c>
    </row>
    <row r="103" spans="1:8" ht="14.25" customHeight="1">
      <c r="A103" s="131"/>
      <c r="B103" s="131" t="s">
        <v>553</v>
      </c>
      <c r="C103" s="131" t="s">
        <v>447</v>
      </c>
      <c r="D103" s="246">
        <v>45879</v>
      </c>
      <c r="E103" s="131" t="s">
        <v>626</v>
      </c>
      <c r="F103" s="131">
        <v>10</v>
      </c>
      <c r="G103" s="131"/>
      <c r="H103" s="131" t="s">
        <v>20</v>
      </c>
    </row>
    <row r="104" spans="1:8" ht="14.25" customHeight="1">
      <c r="A104" s="131"/>
      <c r="B104" s="131" t="s">
        <v>553</v>
      </c>
      <c r="C104" s="131" t="s">
        <v>447</v>
      </c>
      <c r="D104" s="246">
        <v>45885</v>
      </c>
      <c r="E104" s="131" t="s">
        <v>623</v>
      </c>
      <c r="F104" s="131" t="s">
        <v>13</v>
      </c>
      <c r="G104" s="131"/>
      <c r="H104" s="131" t="s">
        <v>20</v>
      </c>
    </row>
    <row r="105" spans="1:8" ht="14.25" customHeight="1">
      <c r="A105" s="131"/>
      <c r="B105" s="131" t="s">
        <v>553</v>
      </c>
      <c r="C105" s="131" t="s">
        <v>447</v>
      </c>
      <c r="D105" s="246">
        <v>45892</v>
      </c>
      <c r="E105" s="131" t="s">
        <v>625</v>
      </c>
      <c r="F105" s="131">
        <v>11</v>
      </c>
      <c r="G105" s="131"/>
      <c r="H105" s="131" t="s">
        <v>20</v>
      </c>
    </row>
    <row r="106" spans="1:8" ht="14.25" customHeight="1">
      <c r="A106" s="131"/>
      <c r="B106" s="131" t="s">
        <v>553</v>
      </c>
      <c r="C106" s="131" t="s">
        <v>447</v>
      </c>
      <c r="D106" s="246">
        <v>45893</v>
      </c>
      <c r="E106" s="131" t="s">
        <v>626</v>
      </c>
      <c r="F106" s="131">
        <v>10</v>
      </c>
      <c r="G106" s="131"/>
      <c r="H106" s="131" t="s">
        <v>20</v>
      </c>
    </row>
    <row r="107" spans="1:8" ht="14.25" customHeight="1">
      <c r="A107" s="131"/>
      <c r="B107" s="131" t="s">
        <v>553</v>
      </c>
      <c r="C107" s="131" t="s">
        <v>447</v>
      </c>
      <c r="D107" s="246">
        <v>45899</v>
      </c>
      <c r="E107" s="131" t="s">
        <v>623</v>
      </c>
      <c r="F107" s="131" t="s">
        <v>14</v>
      </c>
      <c r="G107" s="131"/>
      <c r="H107" s="131" t="s">
        <v>20</v>
      </c>
    </row>
    <row r="108" spans="1:8" ht="14.25" customHeight="1">
      <c r="A108" s="131"/>
      <c r="B108" s="131" t="s">
        <v>553</v>
      </c>
      <c r="C108" s="131" t="s">
        <v>463</v>
      </c>
      <c r="D108" s="246">
        <v>45857</v>
      </c>
      <c r="E108" s="131" t="s">
        <v>625</v>
      </c>
      <c r="F108" s="131">
        <v>11</v>
      </c>
      <c r="G108" s="131"/>
      <c r="H108" s="131" t="s">
        <v>20</v>
      </c>
    </row>
    <row r="109" spans="1:8" ht="14.25" customHeight="1">
      <c r="A109" s="131"/>
      <c r="B109" s="131" t="s">
        <v>553</v>
      </c>
      <c r="C109" s="131" t="s">
        <v>463</v>
      </c>
      <c r="D109" s="246">
        <v>45871</v>
      </c>
      <c r="E109" s="131" t="s">
        <v>626</v>
      </c>
      <c r="F109" s="131">
        <v>10</v>
      </c>
      <c r="G109" s="131"/>
      <c r="H109" s="131" t="s">
        <v>20</v>
      </c>
    </row>
    <row r="110" spans="1:8" ht="14.25" customHeight="1">
      <c r="A110" s="131"/>
      <c r="B110" s="131" t="s">
        <v>553</v>
      </c>
      <c r="C110" s="131" t="s">
        <v>463</v>
      </c>
      <c r="D110" s="246">
        <v>45871</v>
      </c>
      <c r="E110" s="131" t="s">
        <v>623</v>
      </c>
      <c r="F110" s="131" t="s">
        <v>13</v>
      </c>
      <c r="G110" s="131"/>
      <c r="H110" s="131" t="s">
        <v>20</v>
      </c>
    </row>
    <row r="111" spans="1:8" ht="14.25" customHeight="1">
      <c r="A111" s="131"/>
      <c r="B111" s="131" t="s">
        <v>553</v>
      </c>
      <c r="C111" s="131" t="s">
        <v>463</v>
      </c>
      <c r="D111" s="246">
        <v>45885</v>
      </c>
      <c r="E111" s="131" t="s">
        <v>625</v>
      </c>
      <c r="F111" s="131">
        <v>11</v>
      </c>
      <c r="G111" s="131"/>
      <c r="H111" s="131" t="s">
        <v>20</v>
      </c>
    </row>
    <row r="112" spans="1:8" ht="14.25" customHeight="1">
      <c r="A112" s="131"/>
      <c r="B112" s="131" t="s">
        <v>553</v>
      </c>
      <c r="C112" s="131" t="s">
        <v>463</v>
      </c>
      <c r="D112" s="246">
        <v>45899</v>
      </c>
      <c r="E112" s="131" t="s">
        <v>626</v>
      </c>
      <c r="F112" s="131">
        <v>10</v>
      </c>
      <c r="G112" s="131"/>
      <c r="H112" s="131" t="s">
        <v>20</v>
      </c>
    </row>
    <row r="113" spans="1:8" ht="14.25" customHeight="1">
      <c r="A113" s="131"/>
      <c r="B113" s="131" t="s">
        <v>553</v>
      </c>
      <c r="C113" s="131" t="s">
        <v>463</v>
      </c>
      <c r="D113" s="246">
        <v>45899</v>
      </c>
      <c r="E113" s="131" t="s">
        <v>623</v>
      </c>
      <c r="F113" s="131" t="s">
        <v>14</v>
      </c>
      <c r="G113" s="131"/>
      <c r="H113" s="131" t="s">
        <v>20</v>
      </c>
    </row>
    <row r="114" spans="1:8" ht="14.25" customHeight="1">
      <c r="A114" s="131"/>
      <c r="B114" s="131" t="s">
        <v>554</v>
      </c>
      <c r="C114" s="131" t="s">
        <v>432</v>
      </c>
      <c r="D114" s="246">
        <v>45850</v>
      </c>
      <c r="E114" s="131" t="s">
        <v>625</v>
      </c>
      <c r="F114" s="131">
        <v>11</v>
      </c>
      <c r="G114" s="131"/>
      <c r="H114" s="131" t="s">
        <v>27</v>
      </c>
    </row>
    <row r="115" spans="1:8" ht="14.25" customHeight="1">
      <c r="A115" s="131"/>
      <c r="B115" s="131" t="s">
        <v>554</v>
      </c>
      <c r="C115" s="131" t="s">
        <v>432</v>
      </c>
      <c r="D115" s="246">
        <v>45851</v>
      </c>
      <c r="E115" s="131" t="s">
        <v>626</v>
      </c>
      <c r="F115" s="131">
        <v>10</v>
      </c>
      <c r="G115" s="131"/>
      <c r="H115" s="131" t="s">
        <v>27</v>
      </c>
    </row>
    <row r="116" spans="1:8" ht="14.25" customHeight="1">
      <c r="A116" s="131"/>
      <c r="B116" s="131" t="s">
        <v>554</v>
      </c>
      <c r="C116" s="131" t="s">
        <v>432</v>
      </c>
      <c r="D116" s="246">
        <v>45857</v>
      </c>
      <c r="E116" s="131" t="s">
        <v>623</v>
      </c>
      <c r="F116" s="131" t="s">
        <v>13</v>
      </c>
      <c r="G116" s="131"/>
      <c r="H116" s="131" t="s">
        <v>27</v>
      </c>
    </row>
    <row r="117" spans="1:8" ht="14.25" customHeight="1">
      <c r="A117" s="131"/>
      <c r="B117" s="131" t="s">
        <v>554</v>
      </c>
      <c r="C117" s="131" t="s">
        <v>432</v>
      </c>
      <c r="D117" s="246">
        <v>45864</v>
      </c>
      <c r="E117" s="131" t="s">
        <v>625</v>
      </c>
      <c r="F117" s="131">
        <v>11</v>
      </c>
      <c r="G117" s="131"/>
      <c r="H117" s="131" t="s">
        <v>27</v>
      </c>
    </row>
    <row r="118" spans="1:8" ht="14.25" customHeight="1">
      <c r="A118" s="131"/>
      <c r="B118" s="131" t="s">
        <v>554</v>
      </c>
      <c r="C118" s="131" t="s">
        <v>432</v>
      </c>
      <c r="D118" s="246">
        <v>45865</v>
      </c>
      <c r="E118" s="131" t="s">
        <v>626</v>
      </c>
      <c r="F118" s="131">
        <v>10</v>
      </c>
      <c r="G118" s="131"/>
      <c r="H118" s="131" t="s">
        <v>27</v>
      </c>
    </row>
    <row r="119" spans="1:8" ht="14.25" customHeight="1">
      <c r="A119" s="131"/>
      <c r="B119" s="131" t="s">
        <v>554</v>
      </c>
      <c r="C119" s="131" t="s">
        <v>432</v>
      </c>
      <c r="D119" s="246">
        <v>45871</v>
      </c>
      <c r="E119" s="131" t="s">
        <v>623</v>
      </c>
      <c r="F119" s="131" t="s">
        <v>14</v>
      </c>
      <c r="G119" s="131"/>
      <c r="H119" s="131" t="s">
        <v>27</v>
      </c>
    </row>
    <row r="120" spans="1:8" ht="14.25" customHeight="1">
      <c r="A120" s="131"/>
      <c r="B120" s="131" t="s">
        <v>554</v>
      </c>
      <c r="C120" s="131" t="s">
        <v>447</v>
      </c>
      <c r="D120" s="246">
        <v>45878</v>
      </c>
      <c r="E120" s="131" t="s">
        <v>625</v>
      </c>
      <c r="F120" s="131">
        <v>11</v>
      </c>
      <c r="G120" s="131"/>
      <c r="H120" s="131" t="s">
        <v>27</v>
      </c>
    </row>
    <row r="121" spans="1:8" ht="14.25" customHeight="1">
      <c r="A121" s="131"/>
      <c r="B121" s="131" t="s">
        <v>554</v>
      </c>
      <c r="C121" s="131" t="s">
        <v>447</v>
      </c>
      <c r="D121" s="246">
        <v>45879</v>
      </c>
      <c r="E121" s="131" t="s">
        <v>626</v>
      </c>
      <c r="F121" s="131">
        <v>10</v>
      </c>
      <c r="G121" s="131"/>
      <c r="H121" s="131" t="s">
        <v>27</v>
      </c>
    </row>
    <row r="122" spans="1:8" ht="14.25" customHeight="1">
      <c r="A122" s="131"/>
      <c r="B122" s="131" t="s">
        <v>554</v>
      </c>
      <c r="C122" s="131" t="s">
        <v>447</v>
      </c>
      <c r="D122" s="246">
        <v>45885</v>
      </c>
      <c r="E122" s="131" t="s">
        <v>623</v>
      </c>
      <c r="F122" s="131" t="s">
        <v>13</v>
      </c>
      <c r="G122" s="131"/>
      <c r="H122" s="131" t="s">
        <v>27</v>
      </c>
    </row>
    <row r="123" spans="1:8" ht="14.25" customHeight="1">
      <c r="A123" s="131"/>
      <c r="B123" s="131" t="s">
        <v>554</v>
      </c>
      <c r="C123" s="131" t="s">
        <v>447</v>
      </c>
      <c r="D123" s="246">
        <v>45892</v>
      </c>
      <c r="E123" s="131" t="s">
        <v>625</v>
      </c>
      <c r="F123" s="131">
        <v>11</v>
      </c>
      <c r="G123" s="131"/>
      <c r="H123" s="131" t="s">
        <v>27</v>
      </c>
    </row>
    <row r="124" spans="1:8" ht="14.25" customHeight="1">
      <c r="A124" s="131"/>
      <c r="B124" s="131" t="s">
        <v>554</v>
      </c>
      <c r="C124" s="131" t="s">
        <v>447</v>
      </c>
      <c r="D124" s="246">
        <v>45893</v>
      </c>
      <c r="E124" s="131" t="s">
        <v>626</v>
      </c>
      <c r="F124" s="131">
        <v>10</v>
      </c>
      <c r="G124" s="131"/>
      <c r="H124" s="131" t="s">
        <v>27</v>
      </c>
    </row>
    <row r="125" spans="1:8" ht="14.25" customHeight="1">
      <c r="A125" s="131"/>
      <c r="B125" s="131" t="s">
        <v>554</v>
      </c>
      <c r="C125" s="131" t="s">
        <v>447</v>
      </c>
      <c r="D125" s="246">
        <v>45899</v>
      </c>
      <c r="E125" s="131" t="s">
        <v>623</v>
      </c>
      <c r="F125" s="131" t="s">
        <v>14</v>
      </c>
      <c r="G125" s="131"/>
      <c r="H125" s="131" t="s">
        <v>27</v>
      </c>
    </row>
    <row r="126" spans="1:8" ht="14.25" customHeight="1">
      <c r="A126" s="131"/>
      <c r="B126" s="131" t="s">
        <v>554</v>
      </c>
      <c r="C126" s="131" t="s">
        <v>463</v>
      </c>
      <c r="D126" s="246">
        <v>45857</v>
      </c>
      <c r="E126" s="131" t="s">
        <v>625</v>
      </c>
      <c r="F126" s="131">
        <v>11</v>
      </c>
      <c r="G126" s="131"/>
      <c r="H126" s="131" t="s">
        <v>27</v>
      </c>
    </row>
    <row r="127" spans="1:8" ht="14.25" customHeight="1">
      <c r="A127" s="131"/>
      <c r="B127" s="131" t="s">
        <v>554</v>
      </c>
      <c r="C127" s="131" t="s">
        <v>463</v>
      </c>
      <c r="D127" s="246">
        <v>45871</v>
      </c>
      <c r="E127" s="131" t="s">
        <v>626</v>
      </c>
      <c r="F127" s="131">
        <v>10</v>
      </c>
      <c r="G127" s="131"/>
      <c r="H127" s="131" t="s">
        <v>27</v>
      </c>
    </row>
    <row r="128" spans="1:8" ht="14.25" customHeight="1">
      <c r="A128" s="131"/>
      <c r="B128" s="131" t="s">
        <v>554</v>
      </c>
      <c r="C128" s="131" t="s">
        <v>463</v>
      </c>
      <c r="D128" s="246">
        <v>45871</v>
      </c>
      <c r="E128" s="131" t="s">
        <v>623</v>
      </c>
      <c r="F128" s="131" t="s">
        <v>13</v>
      </c>
      <c r="G128" s="131"/>
      <c r="H128" s="131" t="s">
        <v>27</v>
      </c>
    </row>
    <row r="129" spans="1:8" ht="14.25" customHeight="1">
      <c r="A129" s="131"/>
      <c r="B129" s="131" t="s">
        <v>554</v>
      </c>
      <c r="C129" s="131" t="s">
        <v>463</v>
      </c>
      <c r="D129" s="246">
        <v>45885</v>
      </c>
      <c r="E129" s="131" t="s">
        <v>625</v>
      </c>
      <c r="F129" s="131">
        <v>11</v>
      </c>
      <c r="G129" s="131"/>
      <c r="H129" s="131" t="s">
        <v>27</v>
      </c>
    </row>
    <row r="130" spans="1:8" ht="14.25" customHeight="1">
      <c r="A130" s="131"/>
      <c r="B130" s="131" t="s">
        <v>554</v>
      </c>
      <c r="C130" s="131" t="s">
        <v>463</v>
      </c>
      <c r="D130" s="246">
        <v>45899</v>
      </c>
      <c r="E130" s="131" t="s">
        <v>626</v>
      </c>
      <c r="F130" s="131">
        <v>10</v>
      </c>
      <c r="G130" s="131"/>
      <c r="H130" s="131" t="s">
        <v>27</v>
      </c>
    </row>
    <row r="131" spans="1:8" ht="14.25" customHeight="1">
      <c r="A131" s="131"/>
      <c r="B131" s="131" t="s">
        <v>554</v>
      </c>
      <c r="C131" s="131" t="s">
        <v>463</v>
      </c>
      <c r="D131" s="246">
        <v>45899</v>
      </c>
      <c r="E131" s="131" t="s">
        <v>623</v>
      </c>
      <c r="F131" s="131" t="s">
        <v>14</v>
      </c>
      <c r="G131" s="131"/>
      <c r="H131" s="131" t="s">
        <v>27</v>
      </c>
    </row>
    <row r="132" spans="1:8" ht="14.25" customHeight="1">
      <c r="A132" s="131"/>
      <c r="B132" s="131" t="s">
        <v>555</v>
      </c>
      <c r="C132" s="131" t="s">
        <v>432</v>
      </c>
      <c r="D132" s="246">
        <v>45850</v>
      </c>
      <c r="E132" s="131" t="s">
        <v>625</v>
      </c>
      <c r="F132" s="131">
        <v>11</v>
      </c>
      <c r="G132" s="131"/>
      <c r="H132" s="131" t="s">
        <v>32</v>
      </c>
    </row>
    <row r="133" spans="1:8" ht="14.25" customHeight="1">
      <c r="A133" s="131"/>
      <c r="B133" s="131" t="s">
        <v>555</v>
      </c>
      <c r="C133" s="131" t="s">
        <v>432</v>
      </c>
      <c r="D133" s="246">
        <v>45851</v>
      </c>
      <c r="E133" s="131" t="s">
        <v>626</v>
      </c>
      <c r="F133" s="131">
        <v>10</v>
      </c>
      <c r="G133" s="131"/>
      <c r="H133" s="131" t="s">
        <v>32</v>
      </c>
    </row>
    <row r="134" spans="1:8" ht="14.25" customHeight="1">
      <c r="A134" s="131"/>
      <c r="B134" s="131" t="s">
        <v>555</v>
      </c>
      <c r="C134" s="131" t="s">
        <v>432</v>
      </c>
      <c r="D134" s="246">
        <v>45857</v>
      </c>
      <c r="E134" s="131" t="s">
        <v>623</v>
      </c>
      <c r="F134" s="131" t="s">
        <v>13</v>
      </c>
      <c r="G134" s="131"/>
      <c r="H134" s="131" t="s">
        <v>32</v>
      </c>
    </row>
    <row r="135" spans="1:8" ht="14.25" customHeight="1">
      <c r="A135" s="131"/>
      <c r="B135" s="131" t="s">
        <v>555</v>
      </c>
      <c r="C135" s="131" t="s">
        <v>432</v>
      </c>
      <c r="D135" s="246">
        <v>45864</v>
      </c>
      <c r="E135" s="131" t="s">
        <v>625</v>
      </c>
      <c r="F135" s="131">
        <v>11</v>
      </c>
      <c r="G135" s="131"/>
      <c r="H135" s="131" t="s">
        <v>32</v>
      </c>
    </row>
    <row r="136" spans="1:8" ht="14.25" customHeight="1">
      <c r="A136" s="131"/>
      <c r="B136" s="131" t="s">
        <v>555</v>
      </c>
      <c r="C136" s="131" t="s">
        <v>432</v>
      </c>
      <c r="D136" s="246">
        <v>45865</v>
      </c>
      <c r="E136" s="131" t="s">
        <v>626</v>
      </c>
      <c r="F136" s="131">
        <v>10</v>
      </c>
      <c r="G136" s="131"/>
      <c r="H136" s="131" t="s">
        <v>32</v>
      </c>
    </row>
    <row r="137" spans="1:8" ht="14.25" customHeight="1">
      <c r="A137" s="131"/>
      <c r="B137" s="131" t="s">
        <v>555</v>
      </c>
      <c r="C137" s="131" t="s">
        <v>432</v>
      </c>
      <c r="D137" s="246">
        <v>45871</v>
      </c>
      <c r="E137" s="131" t="s">
        <v>623</v>
      </c>
      <c r="F137" s="131" t="s">
        <v>14</v>
      </c>
      <c r="G137" s="131"/>
      <c r="H137" s="131" t="s">
        <v>32</v>
      </c>
    </row>
    <row r="138" spans="1:8" ht="14.25" customHeight="1">
      <c r="A138" s="131"/>
      <c r="B138" s="131" t="s">
        <v>555</v>
      </c>
      <c r="C138" s="131" t="s">
        <v>447</v>
      </c>
      <c r="D138" s="246">
        <v>45878</v>
      </c>
      <c r="E138" s="131" t="s">
        <v>625</v>
      </c>
      <c r="F138" s="131">
        <v>11</v>
      </c>
      <c r="G138" s="131"/>
      <c r="H138" s="131" t="s">
        <v>32</v>
      </c>
    </row>
    <row r="139" spans="1:8" ht="14.25" customHeight="1">
      <c r="A139" s="131"/>
      <c r="B139" s="131" t="s">
        <v>555</v>
      </c>
      <c r="C139" s="131" t="s">
        <v>447</v>
      </c>
      <c r="D139" s="246">
        <v>45879</v>
      </c>
      <c r="E139" s="131" t="s">
        <v>626</v>
      </c>
      <c r="F139" s="131">
        <v>10</v>
      </c>
      <c r="G139" s="131"/>
      <c r="H139" s="131" t="s">
        <v>32</v>
      </c>
    </row>
    <row r="140" spans="1:8" ht="14.25" customHeight="1">
      <c r="A140" s="131"/>
      <c r="B140" s="131" t="s">
        <v>555</v>
      </c>
      <c r="C140" s="131" t="s">
        <v>447</v>
      </c>
      <c r="D140" s="246">
        <v>45885</v>
      </c>
      <c r="E140" s="131" t="s">
        <v>623</v>
      </c>
      <c r="F140" s="131" t="s">
        <v>13</v>
      </c>
      <c r="G140" s="131"/>
      <c r="H140" s="131" t="s">
        <v>32</v>
      </c>
    </row>
    <row r="141" spans="1:8" ht="14.25" customHeight="1">
      <c r="A141" s="131"/>
      <c r="B141" s="131" t="s">
        <v>555</v>
      </c>
      <c r="C141" s="131" t="s">
        <v>447</v>
      </c>
      <c r="D141" s="246">
        <v>45892</v>
      </c>
      <c r="E141" s="131" t="s">
        <v>625</v>
      </c>
      <c r="F141" s="131">
        <v>11</v>
      </c>
      <c r="G141" s="131"/>
      <c r="H141" s="131" t="s">
        <v>32</v>
      </c>
    </row>
    <row r="142" spans="1:8" ht="14.25" customHeight="1">
      <c r="A142" s="131"/>
      <c r="B142" s="131" t="s">
        <v>555</v>
      </c>
      <c r="C142" s="131" t="s">
        <v>447</v>
      </c>
      <c r="D142" s="246">
        <v>45893</v>
      </c>
      <c r="E142" s="131" t="s">
        <v>626</v>
      </c>
      <c r="F142" s="131">
        <v>10</v>
      </c>
      <c r="G142" s="131"/>
      <c r="H142" s="131" t="s">
        <v>32</v>
      </c>
    </row>
    <row r="143" spans="1:8" ht="14.25" customHeight="1">
      <c r="A143" s="131"/>
      <c r="B143" s="131" t="s">
        <v>555</v>
      </c>
      <c r="C143" s="131" t="s">
        <v>447</v>
      </c>
      <c r="D143" s="246">
        <v>45899</v>
      </c>
      <c r="E143" s="131" t="s">
        <v>623</v>
      </c>
      <c r="F143" s="131" t="s">
        <v>14</v>
      </c>
      <c r="G143" s="131"/>
      <c r="H143" s="131" t="s">
        <v>32</v>
      </c>
    </row>
    <row r="144" spans="1:8" ht="14.25" customHeight="1">
      <c r="A144" s="131"/>
      <c r="B144" s="131" t="s">
        <v>555</v>
      </c>
      <c r="C144" s="131" t="s">
        <v>463</v>
      </c>
      <c r="D144" s="246">
        <v>45857</v>
      </c>
      <c r="E144" s="131" t="s">
        <v>625</v>
      </c>
      <c r="F144" s="131">
        <v>11</v>
      </c>
      <c r="G144" s="131"/>
      <c r="H144" s="131" t="s">
        <v>32</v>
      </c>
    </row>
    <row r="145" spans="1:8" ht="14.25" customHeight="1">
      <c r="A145" s="131"/>
      <c r="B145" s="131" t="s">
        <v>555</v>
      </c>
      <c r="C145" s="131" t="s">
        <v>463</v>
      </c>
      <c r="D145" s="246">
        <v>45871</v>
      </c>
      <c r="E145" s="131" t="s">
        <v>626</v>
      </c>
      <c r="F145" s="131">
        <v>10</v>
      </c>
      <c r="G145" s="131"/>
      <c r="H145" s="131" t="s">
        <v>32</v>
      </c>
    </row>
    <row r="146" spans="1:8" ht="14.25" customHeight="1">
      <c r="A146" s="131"/>
      <c r="B146" s="131" t="s">
        <v>555</v>
      </c>
      <c r="C146" s="131" t="s">
        <v>463</v>
      </c>
      <c r="D146" s="246">
        <v>45871</v>
      </c>
      <c r="E146" s="131" t="s">
        <v>623</v>
      </c>
      <c r="F146" s="131" t="s">
        <v>13</v>
      </c>
      <c r="G146" s="131"/>
      <c r="H146" s="131" t="s">
        <v>32</v>
      </c>
    </row>
    <row r="147" spans="1:8" ht="14.25" customHeight="1">
      <c r="A147" s="131"/>
      <c r="B147" s="131" t="s">
        <v>555</v>
      </c>
      <c r="C147" s="131" t="s">
        <v>463</v>
      </c>
      <c r="D147" s="246">
        <v>45885</v>
      </c>
      <c r="E147" s="131" t="s">
        <v>625</v>
      </c>
      <c r="F147" s="131">
        <v>11</v>
      </c>
      <c r="G147" s="131"/>
      <c r="H147" s="131" t="s">
        <v>32</v>
      </c>
    </row>
    <row r="148" spans="1:8" ht="14.25" customHeight="1">
      <c r="A148" s="131"/>
      <c r="B148" s="131" t="s">
        <v>555</v>
      </c>
      <c r="C148" s="131" t="s">
        <v>463</v>
      </c>
      <c r="D148" s="246">
        <v>45899</v>
      </c>
      <c r="E148" s="131" t="s">
        <v>626</v>
      </c>
      <c r="F148" s="131">
        <v>10</v>
      </c>
      <c r="G148" s="131"/>
      <c r="H148" s="131" t="s">
        <v>32</v>
      </c>
    </row>
    <row r="149" spans="1:8" ht="14.25" customHeight="1">
      <c r="A149" s="131"/>
      <c r="B149" s="131" t="s">
        <v>555</v>
      </c>
      <c r="C149" s="131" t="s">
        <v>463</v>
      </c>
      <c r="D149" s="246">
        <v>45899</v>
      </c>
      <c r="E149" s="131" t="s">
        <v>623</v>
      </c>
      <c r="F149" s="131" t="s">
        <v>14</v>
      </c>
      <c r="G149" s="131"/>
      <c r="H149" s="131" t="s">
        <v>32</v>
      </c>
    </row>
    <row r="150" spans="1:8" ht="14.25" customHeight="1">
      <c r="A150" s="131"/>
      <c r="B150" s="131" t="s">
        <v>556</v>
      </c>
      <c r="C150" s="131" t="s">
        <v>432</v>
      </c>
      <c r="D150" s="246">
        <v>45850</v>
      </c>
      <c r="E150" s="131" t="s">
        <v>625</v>
      </c>
      <c r="F150" s="131">
        <v>11</v>
      </c>
      <c r="G150" s="131"/>
      <c r="H150" s="131" t="s">
        <v>627</v>
      </c>
    </row>
    <row r="151" spans="1:8" ht="14.25" customHeight="1">
      <c r="A151" s="131"/>
      <c r="B151" s="131" t="s">
        <v>556</v>
      </c>
      <c r="C151" s="131" t="s">
        <v>432</v>
      </c>
      <c r="D151" s="246">
        <v>45851</v>
      </c>
      <c r="E151" s="131" t="s">
        <v>626</v>
      </c>
      <c r="F151" s="131">
        <v>10</v>
      </c>
      <c r="G151" s="131"/>
      <c r="H151" s="131" t="s">
        <v>627</v>
      </c>
    </row>
    <row r="152" spans="1:8" ht="14.25" customHeight="1">
      <c r="A152" s="131"/>
      <c r="B152" s="131" t="s">
        <v>556</v>
      </c>
      <c r="C152" s="131" t="s">
        <v>432</v>
      </c>
      <c r="D152" s="246">
        <v>45857</v>
      </c>
      <c r="E152" s="131" t="s">
        <v>623</v>
      </c>
      <c r="F152" s="131" t="s">
        <v>13</v>
      </c>
      <c r="G152" s="131"/>
      <c r="H152" s="131" t="s">
        <v>627</v>
      </c>
    </row>
    <row r="153" spans="1:8" ht="14.25" customHeight="1">
      <c r="A153" s="131"/>
      <c r="B153" s="131" t="s">
        <v>556</v>
      </c>
      <c r="C153" s="131" t="s">
        <v>432</v>
      </c>
      <c r="D153" s="246">
        <v>45864</v>
      </c>
      <c r="E153" s="131" t="s">
        <v>625</v>
      </c>
      <c r="F153" s="131">
        <v>11</v>
      </c>
      <c r="G153" s="131"/>
      <c r="H153" s="131" t="s">
        <v>627</v>
      </c>
    </row>
    <row r="154" spans="1:8" ht="14.25" customHeight="1">
      <c r="A154" s="131"/>
      <c r="B154" s="131" t="s">
        <v>556</v>
      </c>
      <c r="C154" s="131" t="s">
        <v>432</v>
      </c>
      <c r="D154" s="246">
        <v>45865</v>
      </c>
      <c r="E154" s="131" t="s">
        <v>626</v>
      </c>
      <c r="F154" s="131">
        <v>10</v>
      </c>
      <c r="G154" s="131"/>
      <c r="H154" s="131" t="s">
        <v>627</v>
      </c>
    </row>
    <row r="155" spans="1:8" ht="14.25" customHeight="1">
      <c r="A155" s="131"/>
      <c r="B155" s="131" t="s">
        <v>556</v>
      </c>
      <c r="C155" s="131" t="s">
        <v>432</v>
      </c>
      <c r="D155" s="246">
        <v>45871</v>
      </c>
      <c r="E155" s="131" t="s">
        <v>623</v>
      </c>
      <c r="F155" s="131" t="s">
        <v>14</v>
      </c>
      <c r="G155" s="131"/>
      <c r="H155" s="131" t="s">
        <v>627</v>
      </c>
    </row>
    <row r="156" spans="1:8" ht="14.25" customHeight="1">
      <c r="A156" s="131"/>
      <c r="B156" s="131" t="s">
        <v>556</v>
      </c>
      <c r="C156" s="131" t="s">
        <v>447</v>
      </c>
      <c r="D156" s="246">
        <v>45878</v>
      </c>
      <c r="E156" s="131" t="s">
        <v>625</v>
      </c>
      <c r="F156" s="131">
        <v>11</v>
      </c>
      <c r="G156" s="131"/>
      <c r="H156" s="131" t="s">
        <v>627</v>
      </c>
    </row>
    <row r="157" spans="1:8" ht="14.25" customHeight="1">
      <c r="A157" s="131"/>
      <c r="B157" s="131" t="s">
        <v>556</v>
      </c>
      <c r="C157" s="131" t="s">
        <v>447</v>
      </c>
      <c r="D157" s="246">
        <v>45879</v>
      </c>
      <c r="E157" s="131" t="s">
        <v>626</v>
      </c>
      <c r="F157" s="131">
        <v>10</v>
      </c>
      <c r="G157" s="131"/>
      <c r="H157" s="131" t="s">
        <v>627</v>
      </c>
    </row>
    <row r="158" spans="1:8" ht="14.25" customHeight="1">
      <c r="A158" s="131"/>
      <c r="B158" s="131" t="s">
        <v>556</v>
      </c>
      <c r="C158" s="131" t="s">
        <v>447</v>
      </c>
      <c r="D158" s="246">
        <v>45885</v>
      </c>
      <c r="E158" s="131" t="s">
        <v>623</v>
      </c>
      <c r="F158" s="131" t="s">
        <v>13</v>
      </c>
      <c r="G158" s="131"/>
      <c r="H158" s="131" t="s">
        <v>627</v>
      </c>
    </row>
    <row r="159" spans="1:8" ht="14.25" customHeight="1">
      <c r="A159" s="131"/>
      <c r="B159" s="131" t="s">
        <v>556</v>
      </c>
      <c r="C159" s="131" t="s">
        <v>447</v>
      </c>
      <c r="D159" s="246">
        <v>45892</v>
      </c>
      <c r="E159" s="131" t="s">
        <v>625</v>
      </c>
      <c r="F159" s="131">
        <v>11</v>
      </c>
      <c r="G159" s="131"/>
      <c r="H159" s="131" t="s">
        <v>627</v>
      </c>
    </row>
    <row r="160" spans="1:8" ht="14.25" customHeight="1">
      <c r="A160" s="131"/>
      <c r="B160" s="131" t="s">
        <v>556</v>
      </c>
      <c r="C160" s="131" t="s">
        <v>447</v>
      </c>
      <c r="D160" s="246">
        <v>45893</v>
      </c>
      <c r="E160" s="131" t="s">
        <v>626</v>
      </c>
      <c r="F160" s="131">
        <v>10</v>
      </c>
      <c r="G160" s="131"/>
      <c r="H160" s="131" t="s">
        <v>627</v>
      </c>
    </row>
    <row r="161" spans="1:8" ht="14.25" customHeight="1">
      <c r="A161" s="131"/>
      <c r="B161" s="131" t="s">
        <v>556</v>
      </c>
      <c r="C161" s="131" t="s">
        <v>447</v>
      </c>
      <c r="D161" s="246">
        <v>45899</v>
      </c>
      <c r="E161" s="131" t="s">
        <v>623</v>
      </c>
      <c r="F161" s="131" t="s">
        <v>14</v>
      </c>
      <c r="G161" s="131"/>
      <c r="H161" s="131" t="s">
        <v>627</v>
      </c>
    </row>
    <row r="162" spans="1:8" ht="14.25" customHeight="1">
      <c r="A162" s="131"/>
      <c r="B162" s="131" t="s">
        <v>556</v>
      </c>
      <c r="C162" s="131" t="s">
        <v>463</v>
      </c>
      <c r="D162" s="246">
        <v>45857</v>
      </c>
      <c r="E162" s="131" t="s">
        <v>625</v>
      </c>
      <c r="F162" s="131">
        <v>11</v>
      </c>
      <c r="G162" s="131"/>
      <c r="H162" s="131" t="s">
        <v>627</v>
      </c>
    </row>
    <row r="163" spans="1:8" ht="14.25" customHeight="1">
      <c r="A163" s="131"/>
      <c r="B163" s="131" t="s">
        <v>556</v>
      </c>
      <c r="C163" s="131" t="s">
        <v>463</v>
      </c>
      <c r="D163" s="246">
        <v>45871</v>
      </c>
      <c r="E163" s="131" t="s">
        <v>626</v>
      </c>
      <c r="F163" s="131">
        <v>10</v>
      </c>
      <c r="G163" s="131"/>
      <c r="H163" s="131" t="s">
        <v>627</v>
      </c>
    </row>
    <row r="164" spans="1:8" ht="14.25" customHeight="1">
      <c r="A164" s="131"/>
      <c r="B164" s="131" t="s">
        <v>556</v>
      </c>
      <c r="C164" s="131" t="s">
        <v>463</v>
      </c>
      <c r="D164" s="246">
        <v>45871</v>
      </c>
      <c r="E164" s="131" t="s">
        <v>623</v>
      </c>
      <c r="F164" s="131" t="s">
        <v>13</v>
      </c>
      <c r="G164" s="131"/>
      <c r="H164" s="131" t="s">
        <v>627</v>
      </c>
    </row>
    <row r="165" spans="1:8" ht="14.25" customHeight="1">
      <c r="A165" s="131"/>
      <c r="B165" s="131" t="s">
        <v>556</v>
      </c>
      <c r="C165" s="131" t="s">
        <v>463</v>
      </c>
      <c r="D165" s="246">
        <v>45885</v>
      </c>
      <c r="E165" s="131" t="s">
        <v>625</v>
      </c>
      <c r="F165" s="131">
        <v>11</v>
      </c>
      <c r="G165" s="131"/>
      <c r="H165" s="131" t="s">
        <v>627</v>
      </c>
    </row>
    <row r="166" spans="1:8" ht="14.25" customHeight="1">
      <c r="A166" s="131"/>
      <c r="B166" s="131" t="s">
        <v>556</v>
      </c>
      <c r="C166" s="131" t="s">
        <v>463</v>
      </c>
      <c r="D166" s="246">
        <v>45899</v>
      </c>
      <c r="E166" s="131" t="s">
        <v>626</v>
      </c>
      <c r="F166" s="131">
        <v>10</v>
      </c>
      <c r="G166" s="131"/>
      <c r="H166" s="131" t="s">
        <v>627</v>
      </c>
    </row>
    <row r="167" spans="1:8" ht="14.25" customHeight="1">
      <c r="A167" s="131"/>
      <c r="B167" s="131" t="s">
        <v>556</v>
      </c>
      <c r="C167" s="131" t="s">
        <v>463</v>
      </c>
      <c r="D167" s="246">
        <v>45899</v>
      </c>
      <c r="E167" s="131" t="s">
        <v>623</v>
      </c>
      <c r="F167" s="131" t="s">
        <v>14</v>
      </c>
      <c r="G167" s="131"/>
      <c r="H167" s="131" t="s">
        <v>627</v>
      </c>
    </row>
    <row r="168" spans="1:8" ht="14.25" customHeight="1">
      <c r="A168" s="131"/>
      <c r="B168" s="131" t="s">
        <v>628</v>
      </c>
      <c r="C168" s="131" t="s">
        <v>458</v>
      </c>
      <c r="D168" s="246">
        <v>45845</v>
      </c>
      <c r="E168" s="131" t="s">
        <v>629</v>
      </c>
      <c r="F168" s="131">
        <v>5</v>
      </c>
      <c r="G168" s="131"/>
      <c r="H168" s="131" t="s">
        <v>627</v>
      </c>
    </row>
    <row r="169" spans="1:8" ht="14.25" customHeight="1">
      <c r="A169" s="131"/>
      <c r="B169" s="131" t="s">
        <v>628</v>
      </c>
      <c r="C169" s="131" t="s">
        <v>458</v>
      </c>
      <c r="D169" s="246">
        <v>45846</v>
      </c>
      <c r="E169" s="131" t="s">
        <v>630</v>
      </c>
      <c r="F169" s="131">
        <v>4</v>
      </c>
      <c r="G169" s="131"/>
      <c r="H169" s="131" t="s">
        <v>627</v>
      </c>
    </row>
    <row r="170" spans="1:8" ht="14.25" customHeight="1">
      <c r="A170" s="131"/>
      <c r="B170" s="131" t="s">
        <v>628</v>
      </c>
      <c r="C170" s="131" t="s">
        <v>458</v>
      </c>
      <c r="D170" s="246">
        <v>45847</v>
      </c>
      <c r="E170" s="131" t="s">
        <v>630</v>
      </c>
      <c r="F170" s="131">
        <v>4</v>
      </c>
      <c r="G170" s="131"/>
      <c r="H170" s="131" t="s">
        <v>627</v>
      </c>
    </row>
    <row r="171" spans="1:8" ht="14.25" customHeight="1">
      <c r="A171" s="131"/>
      <c r="B171" s="131" t="s">
        <v>628</v>
      </c>
      <c r="C171" s="131" t="s">
        <v>458</v>
      </c>
      <c r="D171" s="246">
        <v>45848</v>
      </c>
      <c r="E171" s="131" t="s">
        <v>630</v>
      </c>
      <c r="F171" s="131">
        <v>4</v>
      </c>
      <c r="G171" s="131"/>
      <c r="H171" s="131" t="s">
        <v>627</v>
      </c>
    </row>
    <row r="172" spans="1:8" ht="14.25" customHeight="1">
      <c r="A172" s="131"/>
      <c r="B172" s="131" t="s">
        <v>628</v>
      </c>
      <c r="C172" s="131" t="s">
        <v>458</v>
      </c>
      <c r="D172" s="246">
        <v>45859</v>
      </c>
      <c r="E172" s="131" t="s">
        <v>630</v>
      </c>
      <c r="F172" s="131">
        <v>4</v>
      </c>
      <c r="G172" s="131"/>
      <c r="H172" s="131" t="s">
        <v>627</v>
      </c>
    </row>
    <row r="173" spans="1:8" ht="14.25" customHeight="1">
      <c r="A173" s="131"/>
      <c r="B173" s="131" t="s">
        <v>628</v>
      </c>
      <c r="C173" s="131" t="s">
        <v>458</v>
      </c>
      <c r="D173" s="246">
        <v>45859</v>
      </c>
      <c r="E173" s="131" t="s">
        <v>631</v>
      </c>
      <c r="F173" s="131" t="s">
        <v>13</v>
      </c>
      <c r="G173" s="131"/>
      <c r="H173" s="131" t="s">
        <v>627</v>
      </c>
    </row>
    <row r="174" spans="1:8" ht="14.25" customHeight="1">
      <c r="A174" s="131"/>
      <c r="B174" s="131" t="s">
        <v>628</v>
      </c>
      <c r="C174" s="131" t="s">
        <v>458</v>
      </c>
      <c r="D174" s="246">
        <v>45860</v>
      </c>
      <c r="E174" s="131" t="s">
        <v>629</v>
      </c>
      <c r="F174" s="131">
        <v>5</v>
      </c>
      <c r="G174" s="131"/>
      <c r="H174" s="131" t="s">
        <v>627</v>
      </c>
    </row>
    <row r="175" spans="1:8" ht="14.25" customHeight="1">
      <c r="A175" s="131"/>
      <c r="B175" s="131" t="s">
        <v>628</v>
      </c>
      <c r="C175" s="131" t="s">
        <v>458</v>
      </c>
      <c r="D175" s="246">
        <v>45861</v>
      </c>
      <c r="E175" s="131" t="s">
        <v>630</v>
      </c>
      <c r="F175" s="131">
        <v>4</v>
      </c>
      <c r="G175" s="131"/>
      <c r="H175" s="131" t="s">
        <v>627</v>
      </c>
    </row>
    <row r="176" spans="1:8" ht="14.25" customHeight="1">
      <c r="A176" s="131"/>
      <c r="B176" s="131" t="s">
        <v>628</v>
      </c>
      <c r="C176" s="131" t="s">
        <v>458</v>
      </c>
      <c r="D176" s="246">
        <v>45862</v>
      </c>
      <c r="E176" s="131" t="s">
        <v>630</v>
      </c>
      <c r="F176" s="131">
        <v>4</v>
      </c>
      <c r="G176" s="131"/>
      <c r="H176" s="131" t="s">
        <v>627</v>
      </c>
    </row>
    <row r="177" spans="1:8" ht="14.25" customHeight="1">
      <c r="A177" s="131"/>
      <c r="B177" s="131" t="s">
        <v>628</v>
      </c>
      <c r="C177" s="131" t="s">
        <v>458</v>
      </c>
      <c r="D177" s="246">
        <v>45873</v>
      </c>
      <c r="E177" s="131" t="s">
        <v>630</v>
      </c>
      <c r="F177" s="131">
        <v>4</v>
      </c>
      <c r="G177" s="131"/>
      <c r="H177" s="131" t="s">
        <v>627</v>
      </c>
    </row>
    <row r="178" spans="1:8" ht="14.25" customHeight="1">
      <c r="A178" s="131"/>
      <c r="B178" s="131" t="s">
        <v>628</v>
      </c>
      <c r="C178" s="131" t="s">
        <v>458</v>
      </c>
      <c r="D178" s="246">
        <v>45874</v>
      </c>
      <c r="E178" s="131" t="s">
        <v>630</v>
      </c>
      <c r="F178" s="131">
        <v>4</v>
      </c>
      <c r="G178" s="131"/>
      <c r="H178" s="131" t="s">
        <v>627</v>
      </c>
    </row>
    <row r="179" spans="1:8" ht="14.25" customHeight="1">
      <c r="A179" s="131"/>
      <c r="B179" s="131" t="s">
        <v>628</v>
      </c>
      <c r="C179" s="131" t="s">
        <v>458</v>
      </c>
      <c r="D179" s="246">
        <v>45874</v>
      </c>
      <c r="E179" s="131" t="s">
        <v>631</v>
      </c>
      <c r="F179" s="131" t="s">
        <v>632</v>
      </c>
      <c r="G179" s="131"/>
      <c r="H179" s="131" t="s">
        <v>627</v>
      </c>
    </row>
    <row r="180" spans="1:8" ht="14.25" customHeight="1">
      <c r="A180" s="131"/>
      <c r="B180" s="131" t="s">
        <v>628</v>
      </c>
      <c r="C180" s="131" t="s">
        <v>466</v>
      </c>
      <c r="D180" s="246">
        <v>45875</v>
      </c>
      <c r="E180" s="131" t="s">
        <v>629</v>
      </c>
      <c r="F180" s="131">
        <v>5</v>
      </c>
      <c r="G180" s="131"/>
      <c r="H180" s="131" t="s">
        <v>627</v>
      </c>
    </row>
    <row r="181" spans="1:8" ht="14.25" customHeight="1">
      <c r="A181" s="131"/>
      <c r="B181" s="131" t="s">
        <v>628</v>
      </c>
      <c r="C181" s="131" t="s">
        <v>466</v>
      </c>
      <c r="D181" s="246">
        <v>45876</v>
      </c>
      <c r="E181" s="131" t="s">
        <v>630</v>
      </c>
      <c r="F181" s="131">
        <v>4</v>
      </c>
      <c r="G181" s="131"/>
      <c r="H181" s="131" t="s">
        <v>627</v>
      </c>
    </row>
    <row r="182" spans="1:8" ht="14.25" customHeight="1">
      <c r="A182" s="131"/>
      <c r="B182" s="131" t="s">
        <v>628</v>
      </c>
      <c r="C182" s="131" t="s">
        <v>466</v>
      </c>
      <c r="D182" s="246">
        <v>45887</v>
      </c>
      <c r="E182" s="131" t="s">
        <v>630</v>
      </c>
      <c r="F182" s="131">
        <v>4</v>
      </c>
      <c r="G182" s="131"/>
      <c r="H182" s="131" t="s">
        <v>627</v>
      </c>
    </row>
    <row r="183" spans="1:8" ht="14.25" customHeight="1">
      <c r="A183" s="131"/>
      <c r="B183" s="131" t="s">
        <v>628</v>
      </c>
      <c r="C183" s="131" t="s">
        <v>466</v>
      </c>
      <c r="D183" s="246">
        <v>45888</v>
      </c>
      <c r="E183" s="131" t="s">
        <v>630</v>
      </c>
      <c r="F183" s="131">
        <v>4</v>
      </c>
      <c r="G183" s="131"/>
      <c r="H183" s="131" t="s">
        <v>627</v>
      </c>
    </row>
    <row r="184" spans="1:8" ht="14.25" customHeight="1">
      <c r="A184" s="131"/>
      <c r="B184" s="131" t="s">
        <v>628</v>
      </c>
      <c r="C184" s="131" t="s">
        <v>466</v>
      </c>
      <c r="D184" s="246">
        <v>45889</v>
      </c>
      <c r="E184" s="131" t="s">
        <v>630</v>
      </c>
      <c r="F184" s="131">
        <v>4</v>
      </c>
      <c r="G184" s="131"/>
      <c r="H184" s="131" t="s">
        <v>627</v>
      </c>
    </row>
    <row r="185" spans="1:8" ht="14.25" customHeight="1">
      <c r="A185" s="131"/>
      <c r="B185" s="131" t="s">
        <v>628</v>
      </c>
      <c r="C185" s="131" t="s">
        <v>466</v>
      </c>
      <c r="D185" s="246">
        <v>45889</v>
      </c>
      <c r="E185" s="131" t="s">
        <v>631</v>
      </c>
      <c r="F185" s="131" t="s">
        <v>13</v>
      </c>
      <c r="G185" s="131"/>
      <c r="H185" s="131" t="s">
        <v>627</v>
      </c>
    </row>
    <row r="186" spans="1:8" ht="14.25" customHeight="1">
      <c r="A186" s="131"/>
      <c r="B186" s="131" t="s">
        <v>628</v>
      </c>
      <c r="C186" s="131" t="s">
        <v>466</v>
      </c>
      <c r="D186" s="246">
        <v>45890</v>
      </c>
      <c r="E186" s="131" t="s">
        <v>629</v>
      </c>
      <c r="F186" s="131">
        <v>5</v>
      </c>
      <c r="G186" s="131"/>
      <c r="H186" s="131" t="s">
        <v>627</v>
      </c>
    </row>
    <row r="187" spans="1:8" ht="14.25" customHeight="1">
      <c r="A187" s="131"/>
      <c r="B187" s="131" t="s">
        <v>628</v>
      </c>
      <c r="C187" s="131" t="s">
        <v>466</v>
      </c>
      <c r="D187" s="246">
        <v>45901</v>
      </c>
      <c r="E187" s="131" t="s">
        <v>630</v>
      </c>
      <c r="F187" s="131">
        <v>4</v>
      </c>
      <c r="G187" s="131"/>
      <c r="H187" s="131" t="s">
        <v>627</v>
      </c>
    </row>
    <row r="188" spans="1:8" ht="14.25" customHeight="1">
      <c r="A188" s="131"/>
      <c r="B188" s="131" t="s">
        <v>628</v>
      </c>
      <c r="C188" s="131" t="s">
        <v>466</v>
      </c>
      <c r="D188" s="246">
        <v>45902</v>
      </c>
      <c r="E188" s="131" t="s">
        <v>630</v>
      </c>
      <c r="F188" s="131">
        <v>4</v>
      </c>
      <c r="G188" s="131"/>
      <c r="H188" s="131" t="s">
        <v>627</v>
      </c>
    </row>
    <row r="189" spans="1:8" ht="14.25" customHeight="1">
      <c r="A189" s="131"/>
      <c r="B189" s="131" t="s">
        <v>628</v>
      </c>
      <c r="C189" s="131" t="s">
        <v>466</v>
      </c>
      <c r="D189" s="246">
        <v>45903</v>
      </c>
      <c r="E189" s="131" t="s">
        <v>630</v>
      </c>
      <c r="F189" s="131">
        <v>4</v>
      </c>
      <c r="G189" s="131"/>
      <c r="H189" s="131" t="s">
        <v>627</v>
      </c>
    </row>
    <row r="190" spans="1:8" ht="14.25" customHeight="1">
      <c r="A190" s="131"/>
      <c r="B190" s="131" t="s">
        <v>628</v>
      </c>
      <c r="C190" s="131" t="s">
        <v>466</v>
      </c>
      <c r="D190" s="246">
        <v>45904</v>
      </c>
      <c r="E190" s="131" t="s">
        <v>630</v>
      </c>
      <c r="F190" s="131">
        <v>4</v>
      </c>
      <c r="G190" s="131"/>
      <c r="H190" s="131" t="s">
        <v>627</v>
      </c>
    </row>
    <row r="191" spans="1:8" ht="14.25" customHeight="1">
      <c r="A191" s="131"/>
      <c r="B191" s="131" t="s">
        <v>628</v>
      </c>
      <c r="C191" s="131" t="s">
        <v>466</v>
      </c>
      <c r="D191" s="246">
        <v>45904</v>
      </c>
      <c r="E191" s="131" t="s">
        <v>631</v>
      </c>
      <c r="F191" s="131" t="s">
        <v>632</v>
      </c>
      <c r="G191" s="131"/>
      <c r="H191" s="131" t="s">
        <v>627</v>
      </c>
    </row>
    <row r="192" spans="1:8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H191" xr:uid="{00000000-0009-0000-0000-00000F000000}">
    <sortState xmlns:xlrd2="http://schemas.microsoft.com/office/spreadsheetml/2017/richdata2" ref="A3:H191">
      <sortCondition ref="C3:C191"/>
    </sortState>
  </autoFilter>
  <pageMargins left="0.7" right="0.7" top="0.75" bottom="0.75" header="0" footer="0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0000"/>
  </sheetPr>
  <dimension ref="A1:K1000"/>
  <sheetViews>
    <sheetView workbookViewId="0"/>
  </sheetViews>
  <sheetFormatPr defaultColWidth="12.6640625" defaultRowHeight="15" customHeight="1"/>
  <cols>
    <col min="1" max="1" width="8.6640625" customWidth="1"/>
    <col min="2" max="2" width="50.6640625" customWidth="1"/>
    <col min="3" max="3" width="10.6640625" customWidth="1"/>
    <col min="4" max="4" width="8.6640625" customWidth="1"/>
    <col min="5" max="5" width="4.6640625" customWidth="1"/>
    <col min="6" max="6" width="2.109375" customWidth="1"/>
    <col min="7" max="7" width="8.6640625" customWidth="1"/>
    <col min="8" max="8" width="50.6640625" customWidth="1"/>
    <col min="9" max="9" width="10.6640625" customWidth="1"/>
    <col min="10" max="10" width="8.6640625" customWidth="1"/>
    <col min="11" max="11" width="4.6640625" customWidth="1"/>
  </cols>
  <sheetData>
    <row r="1" spans="1:11" ht="14.25" customHeight="1">
      <c r="A1" s="290" t="s">
        <v>633</v>
      </c>
      <c r="B1" s="291"/>
      <c r="C1" s="291"/>
      <c r="D1" s="291"/>
      <c r="E1" s="292"/>
      <c r="F1" s="248"/>
      <c r="G1" s="293" t="s">
        <v>634</v>
      </c>
      <c r="H1" s="291"/>
      <c r="I1" s="291"/>
      <c r="J1" s="291"/>
      <c r="K1" s="292"/>
    </row>
    <row r="2" spans="1:11" ht="14.25" customHeight="1">
      <c r="A2" s="249" t="s">
        <v>635</v>
      </c>
      <c r="B2" s="250" t="s">
        <v>636</v>
      </c>
      <c r="C2" s="249" t="s">
        <v>5</v>
      </c>
      <c r="D2" s="249" t="s">
        <v>637</v>
      </c>
      <c r="E2" s="249" t="s">
        <v>76</v>
      </c>
      <c r="F2" s="248"/>
      <c r="G2" s="251" t="s">
        <v>635</v>
      </c>
      <c r="H2" s="252" t="s">
        <v>636</v>
      </c>
      <c r="I2" s="251" t="s">
        <v>5</v>
      </c>
      <c r="J2" s="251" t="s">
        <v>637</v>
      </c>
      <c r="K2" s="251" t="s">
        <v>76</v>
      </c>
    </row>
    <row r="3" spans="1:11" ht="14.25" customHeight="1">
      <c r="A3" s="253" t="s">
        <v>638</v>
      </c>
      <c r="B3" s="254" t="s">
        <v>639</v>
      </c>
      <c r="C3" s="253" t="s">
        <v>640</v>
      </c>
      <c r="D3" s="255">
        <v>45323</v>
      </c>
      <c r="E3" s="253">
        <v>3</v>
      </c>
      <c r="F3" s="248"/>
      <c r="G3" s="256" t="s">
        <v>90</v>
      </c>
      <c r="H3" s="257" t="s">
        <v>91</v>
      </c>
      <c r="I3" s="253" t="s">
        <v>641</v>
      </c>
      <c r="J3" s="253"/>
      <c r="K3" s="253">
        <v>3</v>
      </c>
    </row>
    <row r="4" spans="1:11" ht="14.25" customHeight="1">
      <c r="A4" s="253" t="s">
        <v>638</v>
      </c>
      <c r="B4" s="254" t="s">
        <v>639</v>
      </c>
      <c r="C4" s="253" t="s">
        <v>642</v>
      </c>
      <c r="D4" s="255">
        <v>45323</v>
      </c>
      <c r="E4" s="253">
        <v>3</v>
      </c>
      <c r="F4" s="248"/>
      <c r="G4" s="253" t="s">
        <v>16</v>
      </c>
      <c r="H4" s="254" t="s">
        <v>17</v>
      </c>
      <c r="I4" s="253" t="s">
        <v>553</v>
      </c>
      <c r="J4" s="253"/>
      <c r="K4" s="253">
        <v>3</v>
      </c>
    </row>
    <row r="5" spans="1:11" ht="14.25" customHeight="1">
      <c r="A5" s="253" t="s">
        <v>638</v>
      </c>
      <c r="B5" s="254" t="s">
        <v>639</v>
      </c>
      <c r="C5" s="253" t="s">
        <v>643</v>
      </c>
      <c r="D5" s="255">
        <v>45323</v>
      </c>
      <c r="E5" s="253">
        <v>3</v>
      </c>
      <c r="F5" s="248"/>
      <c r="G5" s="253" t="s">
        <v>16</v>
      </c>
      <c r="H5" s="254" t="s">
        <v>17</v>
      </c>
      <c r="I5" s="253" t="s">
        <v>554</v>
      </c>
      <c r="J5" s="253"/>
      <c r="K5" s="253">
        <v>3</v>
      </c>
    </row>
    <row r="6" spans="1:11" ht="14.25" customHeight="1">
      <c r="A6" s="253" t="s">
        <v>638</v>
      </c>
      <c r="B6" s="254" t="s">
        <v>639</v>
      </c>
      <c r="C6" s="253" t="s">
        <v>644</v>
      </c>
      <c r="D6" s="255">
        <v>45323</v>
      </c>
      <c r="E6" s="253">
        <v>3</v>
      </c>
      <c r="F6" s="248"/>
      <c r="G6" s="253" t="s">
        <v>16</v>
      </c>
      <c r="H6" s="254" t="s">
        <v>17</v>
      </c>
      <c r="I6" s="253" t="s">
        <v>556</v>
      </c>
      <c r="J6" s="253"/>
      <c r="K6" s="253">
        <v>3</v>
      </c>
    </row>
    <row r="7" spans="1:11" ht="14.25" customHeight="1">
      <c r="A7" s="253" t="s">
        <v>638</v>
      </c>
      <c r="B7" s="254" t="s">
        <v>639</v>
      </c>
      <c r="C7" s="253" t="s">
        <v>645</v>
      </c>
      <c r="D7" s="255">
        <v>45323</v>
      </c>
      <c r="E7" s="253">
        <v>3</v>
      </c>
      <c r="F7" s="248"/>
      <c r="G7" s="253" t="s">
        <v>16</v>
      </c>
      <c r="H7" s="254" t="s">
        <v>17</v>
      </c>
      <c r="I7" s="253" t="s">
        <v>555</v>
      </c>
      <c r="J7" s="253"/>
      <c r="K7" s="253">
        <v>3</v>
      </c>
    </row>
    <row r="8" spans="1:11" ht="14.25" customHeight="1">
      <c r="A8" s="253" t="s">
        <v>16</v>
      </c>
      <c r="B8" s="254" t="s">
        <v>17</v>
      </c>
      <c r="C8" s="253" t="s">
        <v>640</v>
      </c>
      <c r="D8" s="255">
        <v>45323</v>
      </c>
      <c r="E8" s="253">
        <v>3</v>
      </c>
      <c r="F8" s="248"/>
      <c r="G8" s="253" t="s">
        <v>16</v>
      </c>
      <c r="H8" s="254" t="s">
        <v>17</v>
      </c>
      <c r="I8" s="253" t="s">
        <v>620</v>
      </c>
      <c r="J8" s="253"/>
      <c r="K8" s="253">
        <v>3</v>
      </c>
    </row>
    <row r="9" spans="1:11" ht="14.25" customHeight="1">
      <c r="A9" s="253" t="s">
        <v>16</v>
      </c>
      <c r="B9" s="254" t="s">
        <v>17</v>
      </c>
      <c r="C9" s="253" t="s">
        <v>646</v>
      </c>
      <c r="D9" s="255">
        <v>45323</v>
      </c>
      <c r="E9" s="253">
        <v>3</v>
      </c>
      <c r="F9" s="248"/>
      <c r="G9" s="253" t="s">
        <v>95</v>
      </c>
      <c r="H9" s="254" t="s">
        <v>36</v>
      </c>
      <c r="I9" s="253" t="s">
        <v>620</v>
      </c>
      <c r="J9" s="253"/>
      <c r="K9" s="253">
        <v>3</v>
      </c>
    </row>
    <row r="10" spans="1:11" ht="14.25" customHeight="1">
      <c r="A10" s="253" t="s">
        <v>16</v>
      </c>
      <c r="B10" s="254" t="s">
        <v>17</v>
      </c>
      <c r="C10" s="253" t="s">
        <v>642</v>
      </c>
      <c r="D10" s="255">
        <v>45323</v>
      </c>
      <c r="E10" s="253">
        <v>3</v>
      </c>
      <c r="F10" s="248"/>
      <c r="G10" s="253" t="s">
        <v>35</v>
      </c>
      <c r="H10" s="254" t="s">
        <v>36</v>
      </c>
      <c r="I10" s="253" t="s">
        <v>553</v>
      </c>
      <c r="J10" s="253"/>
      <c r="K10" s="253">
        <v>3</v>
      </c>
    </row>
    <row r="11" spans="1:11" ht="14.25" customHeight="1">
      <c r="A11" s="253" t="s">
        <v>16</v>
      </c>
      <c r="B11" s="254" t="s">
        <v>17</v>
      </c>
      <c r="C11" s="253" t="s">
        <v>643</v>
      </c>
      <c r="D11" s="255">
        <v>45323</v>
      </c>
      <c r="E11" s="253">
        <v>3</v>
      </c>
      <c r="F11" s="248"/>
      <c r="G11" s="253" t="s">
        <v>35</v>
      </c>
      <c r="H11" s="254" t="s">
        <v>36</v>
      </c>
      <c r="I11" s="253" t="s">
        <v>554</v>
      </c>
      <c r="J11" s="253"/>
      <c r="K11" s="253">
        <v>3</v>
      </c>
    </row>
    <row r="12" spans="1:11" ht="14.25" customHeight="1">
      <c r="A12" s="253" t="s">
        <v>16</v>
      </c>
      <c r="B12" s="254" t="s">
        <v>17</v>
      </c>
      <c r="C12" s="253" t="s">
        <v>644</v>
      </c>
      <c r="D12" s="255">
        <v>45323</v>
      </c>
      <c r="E12" s="253">
        <v>3</v>
      </c>
      <c r="F12" s="248"/>
      <c r="G12" s="253" t="s">
        <v>35</v>
      </c>
      <c r="H12" s="254" t="s">
        <v>36</v>
      </c>
      <c r="I12" s="253" t="s">
        <v>556</v>
      </c>
      <c r="J12" s="253"/>
      <c r="K12" s="253">
        <v>3</v>
      </c>
    </row>
    <row r="13" spans="1:11" ht="14.25" customHeight="1">
      <c r="A13" s="253" t="s">
        <v>16</v>
      </c>
      <c r="B13" s="254" t="s">
        <v>17</v>
      </c>
      <c r="C13" s="253" t="s">
        <v>645</v>
      </c>
      <c r="D13" s="255">
        <v>45323</v>
      </c>
      <c r="E13" s="253">
        <v>3</v>
      </c>
      <c r="F13" s="248"/>
      <c r="G13" s="253" t="s">
        <v>35</v>
      </c>
      <c r="H13" s="254" t="s">
        <v>36</v>
      </c>
      <c r="I13" s="253" t="s">
        <v>555</v>
      </c>
      <c r="J13" s="253"/>
      <c r="K13" s="253">
        <v>3</v>
      </c>
    </row>
    <row r="14" spans="1:11" ht="14.25" customHeight="1">
      <c r="A14" s="253" t="s">
        <v>95</v>
      </c>
      <c r="B14" s="254" t="s">
        <v>36</v>
      </c>
      <c r="C14" s="253" t="s">
        <v>646</v>
      </c>
      <c r="D14" s="255">
        <v>45323</v>
      </c>
      <c r="E14" s="253">
        <v>3</v>
      </c>
      <c r="F14" s="248"/>
      <c r="G14" s="253" t="s">
        <v>80</v>
      </c>
      <c r="H14" s="254" t="s">
        <v>81</v>
      </c>
      <c r="I14" s="253" t="s">
        <v>647</v>
      </c>
      <c r="J14" s="253"/>
      <c r="K14" s="253">
        <v>3</v>
      </c>
    </row>
    <row r="15" spans="1:11" ht="14.25" customHeight="1">
      <c r="A15" s="253" t="s">
        <v>35</v>
      </c>
      <c r="B15" s="254" t="s">
        <v>81</v>
      </c>
      <c r="C15" s="253" t="s">
        <v>648</v>
      </c>
      <c r="D15" s="255">
        <v>45170</v>
      </c>
      <c r="E15" s="253">
        <v>3</v>
      </c>
      <c r="F15" s="248"/>
      <c r="G15" s="253" t="s">
        <v>43</v>
      </c>
      <c r="H15" s="254" t="s">
        <v>44</v>
      </c>
      <c r="I15" s="253" t="s">
        <v>552</v>
      </c>
      <c r="J15" s="253"/>
      <c r="K15" s="253">
        <v>3</v>
      </c>
    </row>
    <row r="16" spans="1:11" ht="14.25" customHeight="1">
      <c r="A16" s="253" t="s">
        <v>649</v>
      </c>
      <c r="B16" s="254" t="s">
        <v>44</v>
      </c>
      <c r="C16" s="253" t="s">
        <v>650</v>
      </c>
      <c r="D16" s="255">
        <v>45170</v>
      </c>
      <c r="E16" s="253">
        <v>3</v>
      </c>
      <c r="F16" s="248"/>
      <c r="G16" s="253" t="s">
        <v>43</v>
      </c>
      <c r="H16" s="254" t="s">
        <v>44</v>
      </c>
      <c r="I16" s="253" t="s">
        <v>628</v>
      </c>
      <c r="J16" s="253"/>
      <c r="K16" s="253">
        <v>3</v>
      </c>
    </row>
    <row r="17" spans="1:11" ht="14.25" customHeight="1">
      <c r="A17" s="253" t="s">
        <v>651</v>
      </c>
      <c r="B17" s="254" t="s">
        <v>652</v>
      </c>
      <c r="C17" s="253" t="s">
        <v>653</v>
      </c>
      <c r="D17" s="255">
        <v>45170</v>
      </c>
      <c r="E17" s="253">
        <v>2</v>
      </c>
      <c r="F17" s="248"/>
      <c r="G17" s="253" t="s">
        <v>43</v>
      </c>
      <c r="H17" s="254" t="s">
        <v>44</v>
      </c>
      <c r="I17" s="253" t="s">
        <v>619</v>
      </c>
      <c r="J17" s="253"/>
      <c r="K17" s="253">
        <v>3</v>
      </c>
    </row>
    <row r="18" spans="1:11" ht="14.25" customHeight="1">
      <c r="A18" s="253" t="s">
        <v>651</v>
      </c>
      <c r="B18" s="254" t="s">
        <v>652</v>
      </c>
      <c r="C18" s="253" t="s">
        <v>650</v>
      </c>
      <c r="D18" s="255">
        <v>45170</v>
      </c>
      <c r="E18" s="253">
        <v>2</v>
      </c>
      <c r="F18" s="248"/>
      <c r="G18" s="253" t="s">
        <v>49</v>
      </c>
      <c r="H18" s="254" t="s">
        <v>50</v>
      </c>
      <c r="I18" s="253" t="s">
        <v>552</v>
      </c>
      <c r="J18" s="253"/>
      <c r="K18" s="253">
        <v>3</v>
      </c>
    </row>
    <row r="19" spans="1:11" ht="14.25" customHeight="1">
      <c r="A19" s="253" t="s">
        <v>654</v>
      </c>
      <c r="B19" s="254" t="s">
        <v>655</v>
      </c>
      <c r="C19" s="253" t="s">
        <v>653</v>
      </c>
      <c r="D19" s="255">
        <v>45170</v>
      </c>
      <c r="E19" s="253">
        <v>2</v>
      </c>
      <c r="F19" s="248"/>
      <c r="G19" s="253" t="s">
        <v>49</v>
      </c>
      <c r="H19" s="254" t="s">
        <v>50</v>
      </c>
      <c r="I19" s="253" t="s">
        <v>628</v>
      </c>
      <c r="J19" s="253"/>
      <c r="K19" s="253">
        <v>3</v>
      </c>
    </row>
    <row r="20" spans="1:11" ht="14.25" customHeight="1">
      <c r="A20" s="253" t="s">
        <v>656</v>
      </c>
      <c r="B20" s="254" t="s">
        <v>657</v>
      </c>
      <c r="C20" s="253" t="s">
        <v>658</v>
      </c>
      <c r="D20" s="255">
        <v>45170</v>
      </c>
      <c r="E20" s="253">
        <v>3</v>
      </c>
      <c r="F20" s="248"/>
      <c r="G20" s="253" t="s">
        <v>49</v>
      </c>
      <c r="H20" s="254" t="s">
        <v>50</v>
      </c>
      <c r="I20" s="253" t="s">
        <v>619</v>
      </c>
      <c r="J20" s="253"/>
      <c r="K20" s="253">
        <v>3</v>
      </c>
    </row>
    <row r="21" spans="1:11" ht="14.25" customHeight="1">
      <c r="A21" s="253" t="s">
        <v>659</v>
      </c>
      <c r="B21" s="254" t="s">
        <v>660</v>
      </c>
      <c r="C21" s="253" t="s">
        <v>661</v>
      </c>
      <c r="D21" s="255">
        <v>45170</v>
      </c>
      <c r="E21" s="253">
        <v>3</v>
      </c>
      <c r="F21" s="248"/>
      <c r="G21" s="253" t="s">
        <v>602</v>
      </c>
      <c r="H21" s="254" t="s">
        <v>603</v>
      </c>
      <c r="I21" s="253" t="s">
        <v>641</v>
      </c>
      <c r="J21" s="253"/>
      <c r="K21" s="253">
        <v>3</v>
      </c>
    </row>
    <row r="22" spans="1:11" ht="14.25" customHeight="1">
      <c r="A22" s="253" t="s">
        <v>662</v>
      </c>
      <c r="B22" s="254" t="s">
        <v>607</v>
      </c>
      <c r="C22" s="253" t="s">
        <v>653</v>
      </c>
      <c r="D22" s="255">
        <v>45170</v>
      </c>
      <c r="E22" s="253">
        <v>2</v>
      </c>
      <c r="F22" s="248"/>
      <c r="G22" s="253" t="s">
        <v>604</v>
      </c>
      <c r="H22" s="254" t="s">
        <v>605</v>
      </c>
      <c r="I22" s="253" t="s">
        <v>647</v>
      </c>
      <c r="J22" s="253"/>
      <c r="K22" s="253">
        <v>3</v>
      </c>
    </row>
    <row r="23" spans="1:11" ht="14.25" customHeight="1">
      <c r="A23" s="253" t="s">
        <v>662</v>
      </c>
      <c r="B23" s="254" t="s">
        <v>607</v>
      </c>
      <c r="C23" s="253" t="s">
        <v>648</v>
      </c>
      <c r="D23" s="255">
        <v>45170</v>
      </c>
      <c r="E23" s="253">
        <v>2</v>
      </c>
      <c r="F23" s="248"/>
      <c r="G23" s="253" t="s">
        <v>663</v>
      </c>
      <c r="H23" s="254" t="s">
        <v>664</v>
      </c>
      <c r="I23" s="253" t="s">
        <v>473</v>
      </c>
      <c r="J23" s="253"/>
      <c r="K23" s="253">
        <v>3</v>
      </c>
    </row>
    <row r="24" spans="1:11" ht="14.25" customHeight="1">
      <c r="A24" s="253" t="s">
        <v>662</v>
      </c>
      <c r="B24" s="254" t="s">
        <v>607</v>
      </c>
      <c r="C24" s="253" t="s">
        <v>650</v>
      </c>
      <c r="D24" s="255">
        <v>45170</v>
      </c>
      <c r="E24" s="253">
        <v>2</v>
      </c>
      <c r="F24" s="248"/>
      <c r="G24" s="253" t="s">
        <v>665</v>
      </c>
      <c r="H24" s="254" t="s">
        <v>666</v>
      </c>
      <c r="I24" s="253" t="s">
        <v>473</v>
      </c>
      <c r="J24" s="253"/>
      <c r="K24" s="253">
        <v>3</v>
      </c>
    </row>
    <row r="25" spans="1:11" ht="14.25" customHeight="1">
      <c r="A25" s="253" t="s">
        <v>662</v>
      </c>
      <c r="B25" s="254" t="s">
        <v>607</v>
      </c>
      <c r="C25" s="253" t="s">
        <v>658</v>
      </c>
      <c r="D25" s="255">
        <v>45170</v>
      </c>
      <c r="E25" s="253">
        <v>2</v>
      </c>
      <c r="F25" s="248"/>
      <c r="G25" s="253" t="s">
        <v>606</v>
      </c>
      <c r="H25" s="254" t="s">
        <v>607</v>
      </c>
      <c r="I25" s="253" t="s">
        <v>553</v>
      </c>
      <c r="J25" s="253"/>
      <c r="K25" s="253">
        <v>3</v>
      </c>
    </row>
    <row r="26" spans="1:11" ht="14.25" customHeight="1">
      <c r="A26" s="253" t="s">
        <v>662</v>
      </c>
      <c r="B26" s="254" t="s">
        <v>607</v>
      </c>
      <c r="C26" s="253" t="s">
        <v>661</v>
      </c>
      <c r="D26" s="255">
        <v>45170</v>
      </c>
      <c r="E26" s="253">
        <v>2</v>
      </c>
      <c r="F26" s="248"/>
      <c r="G26" s="253" t="s">
        <v>606</v>
      </c>
      <c r="H26" s="254" t="s">
        <v>607</v>
      </c>
      <c r="I26" s="253" t="s">
        <v>554</v>
      </c>
      <c r="J26" s="253"/>
      <c r="K26" s="253">
        <v>3</v>
      </c>
    </row>
    <row r="27" spans="1:11" ht="14.25" customHeight="1">
      <c r="A27" s="253" t="s">
        <v>142</v>
      </c>
      <c r="B27" s="254" t="s">
        <v>667</v>
      </c>
      <c r="C27" s="253"/>
      <c r="D27" s="253"/>
      <c r="E27" s="253">
        <v>3</v>
      </c>
      <c r="F27" s="248"/>
      <c r="G27" s="253" t="s">
        <v>606</v>
      </c>
      <c r="H27" s="254" t="s">
        <v>607</v>
      </c>
      <c r="I27" s="253" t="s">
        <v>641</v>
      </c>
      <c r="J27" s="253"/>
      <c r="K27" s="253">
        <v>3</v>
      </c>
    </row>
    <row r="28" spans="1:11" ht="14.25" customHeight="1">
      <c r="A28" s="253"/>
      <c r="B28" s="254"/>
      <c r="C28" s="253"/>
      <c r="D28" s="253"/>
      <c r="E28" s="253"/>
      <c r="F28" s="248"/>
      <c r="G28" s="253" t="s">
        <v>606</v>
      </c>
      <c r="H28" s="254" t="s">
        <v>607</v>
      </c>
      <c r="I28" s="253" t="s">
        <v>556</v>
      </c>
      <c r="J28" s="253"/>
      <c r="K28" s="253">
        <v>3</v>
      </c>
    </row>
    <row r="29" spans="1:11" ht="14.25" customHeight="1">
      <c r="A29" s="253"/>
      <c r="B29" s="254"/>
      <c r="C29" s="253"/>
      <c r="D29" s="253"/>
      <c r="E29" s="253"/>
      <c r="F29" s="248"/>
      <c r="G29" s="253" t="s">
        <v>606</v>
      </c>
      <c r="H29" s="254" t="s">
        <v>607</v>
      </c>
      <c r="I29" s="253" t="s">
        <v>555</v>
      </c>
      <c r="J29" s="253"/>
      <c r="K29" s="253">
        <v>3</v>
      </c>
    </row>
    <row r="30" spans="1:11" ht="14.25" customHeight="1">
      <c r="A30" s="253"/>
      <c r="B30" s="254"/>
      <c r="C30" s="253"/>
      <c r="D30" s="253"/>
      <c r="E30" s="253"/>
      <c r="F30" s="258"/>
      <c r="G30" s="253" t="s">
        <v>606</v>
      </c>
      <c r="H30" s="254" t="s">
        <v>607</v>
      </c>
      <c r="I30" s="253" t="s">
        <v>620</v>
      </c>
      <c r="J30" s="253"/>
      <c r="K30" s="253">
        <v>3</v>
      </c>
    </row>
    <row r="31" spans="1:11" ht="14.25" customHeight="1">
      <c r="B31" s="259"/>
      <c r="F31" s="260"/>
      <c r="G31" s="253" t="s">
        <v>668</v>
      </c>
      <c r="H31" s="254" t="s">
        <v>669</v>
      </c>
      <c r="I31" s="253" t="s">
        <v>473</v>
      </c>
      <c r="J31" s="253"/>
      <c r="K31" s="253">
        <v>3</v>
      </c>
    </row>
    <row r="32" spans="1:11" ht="14.25" customHeight="1">
      <c r="B32" s="259"/>
      <c r="F32" s="260"/>
      <c r="G32" s="253" t="s">
        <v>670</v>
      </c>
      <c r="H32" s="254" t="s">
        <v>671</v>
      </c>
      <c r="I32" s="253" t="s">
        <v>473</v>
      </c>
      <c r="J32" s="253"/>
      <c r="K32" s="253">
        <v>6</v>
      </c>
    </row>
    <row r="33" spans="2:11" ht="14.25" customHeight="1">
      <c r="B33" s="259"/>
      <c r="F33" s="260"/>
      <c r="G33" s="253" t="s">
        <v>672</v>
      </c>
      <c r="H33" s="254" t="s">
        <v>673</v>
      </c>
      <c r="I33" s="253" t="s">
        <v>473</v>
      </c>
      <c r="J33" s="253"/>
      <c r="K33" s="253">
        <v>9</v>
      </c>
    </row>
    <row r="34" spans="2:11" ht="14.25" customHeight="1">
      <c r="B34" s="259"/>
      <c r="F34" s="260"/>
      <c r="G34" s="253" t="s">
        <v>662</v>
      </c>
      <c r="H34" s="254" t="s">
        <v>674</v>
      </c>
      <c r="I34" s="253" t="s">
        <v>473</v>
      </c>
      <c r="J34" s="253"/>
      <c r="K34" s="253">
        <v>9</v>
      </c>
    </row>
    <row r="35" spans="2:11" ht="14.25" customHeight="1">
      <c r="B35" s="259"/>
      <c r="F35" s="260"/>
      <c r="G35" s="253" t="s">
        <v>675</v>
      </c>
      <c r="H35" s="254" t="s">
        <v>143</v>
      </c>
      <c r="I35" s="253" t="s">
        <v>473</v>
      </c>
      <c r="J35" s="253"/>
      <c r="K35" s="253">
        <v>2</v>
      </c>
    </row>
    <row r="36" spans="2:11" ht="14.25" customHeight="1">
      <c r="B36" s="259"/>
      <c r="F36" s="260"/>
      <c r="H36" s="259"/>
    </row>
    <row r="37" spans="2:11" ht="14.25" customHeight="1">
      <c r="B37" s="259"/>
      <c r="F37" s="260"/>
      <c r="H37" s="259"/>
    </row>
    <row r="38" spans="2:11" ht="14.25" customHeight="1">
      <c r="B38" s="259"/>
      <c r="F38" s="260"/>
      <c r="H38" s="259"/>
    </row>
    <row r="39" spans="2:11" ht="14.25" customHeight="1">
      <c r="B39" s="259"/>
      <c r="F39" s="260"/>
      <c r="H39" s="259"/>
    </row>
    <row r="40" spans="2:11" ht="14.25" customHeight="1">
      <c r="B40" s="259"/>
      <c r="F40" s="260"/>
      <c r="H40" s="259"/>
    </row>
    <row r="41" spans="2:11" ht="14.25" customHeight="1">
      <c r="B41" s="259"/>
      <c r="F41" s="260"/>
      <c r="H41" s="259"/>
    </row>
    <row r="42" spans="2:11" ht="14.25" customHeight="1">
      <c r="B42" s="259"/>
      <c r="F42" s="260"/>
      <c r="H42" s="259"/>
    </row>
    <row r="43" spans="2:11" ht="14.25" customHeight="1">
      <c r="B43" s="259"/>
      <c r="F43" s="260"/>
      <c r="H43" s="259"/>
    </row>
    <row r="44" spans="2:11" ht="14.25" customHeight="1">
      <c r="B44" s="259"/>
      <c r="F44" s="260"/>
      <c r="H44" s="259"/>
    </row>
    <row r="45" spans="2:11" ht="14.25" customHeight="1">
      <c r="B45" s="259"/>
      <c r="F45" s="260"/>
      <c r="H45" s="259"/>
    </row>
    <row r="46" spans="2:11" ht="14.25" customHeight="1">
      <c r="B46" s="259"/>
      <c r="F46" s="260"/>
      <c r="H46" s="259"/>
    </row>
    <row r="47" spans="2:11" ht="14.25" customHeight="1">
      <c r="B47" s="259"/>
      <c r="F47" s="260"/>
      <c r="H47" s="259"/>
    </row>
    <row r="48" spans="2:11" ht="14.25" customHeight="1">
      <c r="B48" s="259"/>
      <c r="F48" s="260"/>
      <c r="H48" s="259"/>
    </row>
    <row r="49" spans="2:8" ht="14.25" customHeight="1">
      <c r="B49" s="259"/>
      <c r="F49" s="260"/>
      <c r="H49" s="259"/>
    </row>
    <row r="50" spans="2:8" ht="14.25" customHeight="1">
      <c r="B50" s="259"/>
      <c r="F50" s="260"/>
      <c r="H50" s="259"/>
    </row>
    <row r="51" spans="2:8" ht="14.25" customHeight="1">
      <c r="B51" s="259"/>
      <c r="F51" s="260"/>
      <c r="H51" s="259"/>
    </row>
    <row r="52" spans="2:8" ht="14.25" customHeight="1">
      <c r="B52" s="259"/>
      <c r="F52" s="260"/>
      <c r="H52" s="259"/>
    </row>
    <row r="53" spans="2:8" ht="14.25" customHeight="1">
      <c r="B53" s="259"/>
      <c r="F53" s="260"/>
      <c r="H53" s="259"/>
    </row>
    <row r="54" spans="2:8" ht="14.25" customHeight="1">
      <c r="B54" s="259"/>
      <c r="F54" s="260"/>
      <c r="H54" s="259"/>
    </row>
    <row r="55" spans="2:8" ht="14.25" customHeight="1">
      <c r="B55" s="259"/>
      <c r="F55" s="260"/>
      <c r="H55" s="259"/>
    </row>
    <row r="56" spans="2:8" ht="14.25" customHeight="1">
      <c r="B56" s="259"/>
      <c r="F56" s="260"/>
      <c r="H56" s="259"/>
    </row>
    <row r="57" spans="2:8" ht="14.25" customHeight="1">
      <c r="B57" s="259"/>
      <c r="F57" s="260"/>
      <c r="H57" s="259"/>
    </row>
    <row r="58" spans="2:8" ht="14.25" customHeight="1">
      <c r="B58" s="259"/>
      <c r="F58" s="260"/>
      <c r="H58" s="259"/>
    </row>
    <row r="59" spans="2:8" ht="14.25" customHeight="1">
      <c r="B59" s="259"/>
      <c r="F59" s="260"/>
      <c r="H59" s="259"/>
    </row>
    <row r="60" spans="2:8" ht="14.25" customHeight="1">
      <c r="B60" s="259"/>
      <c r="F60" s="260"/>
      <c r="H60" s="259"/>
    </row>
    <row r="61" spans="2:8" ht="14.25" customHeight="1">
      <c r="B61" s="259"/>
      <c r="F61" s="260"/>
      <c r="H61" s="259"/>
    </row>
    <row r="62" spans="2:8" ht="14.25" customHeight="1">
      <c r="B62" s="259"/>
      <c r="F62" s="260"/>
      <c r="H62" s="259"/>
    </row>
    <row r="63" spans="2:8" ht="14.25" customHeight="1">
      <c r="B63" s="259"/>
      <c r="F63" s="260"/>
      <c r="H63" s="259"/>
    </row>
    <row r="64" spans="2:8" ht="14.25" customHeight="1">
      <c r="B64" s="259"/>
      <c r="F64" s="260"/>
      <c r="H64" s="259"/>
    </row>
    <row r="65" spans="2:8" ht="14.25" customHeight="1">
      <c r="B65" s="259"/>
      <c r="F65" s="260"/>
      <c r="H65" s="259"/>
    </row>
    <row r="66" spans="2:8" ht="14.25" customHeight="1">
      <c r="B66" s="259"/>
      <c r="F66" s="260"/>
      <c r="H66" s="259"/>
    </row>
    <row r="67" spans="2:8" ht="14.25" customHeight="1">
      <c r="B67" s="259"/>
      <c r="F67" s="260"/>
      <c r="H67" s="259"/>
    </row>
    <row r="68" spans="2:8" ht="14.25" customHeight="1">
      <c r="B68" s="259"/>
      <c r="F68" s="260"/>
      <c r="H68" s="259"/>
    </row>
    <row r="69" spans="2:8" ht="14.25" customHeight="1">
      <c r="B69" s="259"/>
      <c r="F69" s="260"/>
      <c r="H69" s="259"/>
    </row>
    <row r="70" spans="2:8" ht="14.25" customHeight="1">
      <c r="B70" s="259"/>
      <c r="F70" s="260"/>
      <c r="H70" s="259"/>
    </row>
    <row r="71" spans="2:8" ht="14.25" customHeight="1">
      <c r="B71" s="259"/>
      <c r="F71" s="260"/>
      <c r="H71" s="259"/>
    </row>
    <row r="72" spans="2:8" ht="14.25" customHeight="1">
      <c r="B72" s="259"/>
      <c r="F72" s="260"/>
      <c r="H72" s="259"/>
    </row>
    <row r="73" spans="2:8" ht="14.25" customHeight="1">
      <c r="B73" s="259"/>
      <c r="F73" s="260"/>
      <c r="H73" s="259"/>
    </row>
    <row r="74" spans="2:8" ht="14.25" customHeight="1">
      <c r="B74" s="259"/>
      <c r="F74" s="260"/>
      <c r="H74" s="259"/>
    </row>
    <row r="75" spans="2:8" ht="14.25" customHeight="1">
      <c r="B75" s="259"/>
      <c r="F75" s="260"/>
      <c r="H75" s="259"/>
    </row>
    <row r="76" spans="2:8" ht="14.25" customHeight="1">
      <c r="B76" s="259"/>
      <c r="F76" s="260"/>
      <c r="H76" s="259"/>
    </row>
    <row r="77" spans="2:8" ht="14.25" customHeight="1">
      <c r="B77" s="259"/>
      <c r="F77" s="260"/>
      <c r="H77" s="259"/>
    </row>
    <row r="78" spans="2:8" ht="14.25" customHeight="1">
      <c r="B78" s="259"/>
      <c r="F78" s="260"/>
      <c r="H78" s="259"/>
    </row>
    <row r="79" spans="2:8" ht="14.25" customHeight="1">
      <c r="B79" s="259"/>
      <c r="F79" s="260"/>
      <c r="H79" s="259"/>
    </row>
    <row r="80" spans="2:8" ht="14.25" customHeight="1">
      <c r="B80" s="259"/>
      <c r="F80" s="260"/>
      <c r="H80" s="259"/>
    </row>
    <row r="81" spans="2:8" ht="14.25" customHeight="1">
      <c r="B81" s="259"/>
      <c r="F81" s="260"/>
      <c r="H81" s="259"/>
    </row>
    <row r="82" spans="2:8" ht="14.25" customHeight="1">
      <c r="B82" s="259"/>
      <c r="F82" s="260"/>
      <c r="H82" s="259"/>
    </row>
    <row r="83" spans="2:8" ht="14.25" customHeight="1">
      <c r="B83" s="259"/>
      <c r="F83" s="260"/>
      <c r="H83" s="259"/>
    </row>
    <row r="84" spans="2:8" ht="14.25" customHeight="1">
      <c r="B84" s="259"/>
      <c r="F84" s="260"/>
      <c r="H84" s="259"/>
    </row>
    <row r="85" spans="2:8" ht="14.25" customHeight="1">
      <c r="B85" s="259"/>
      <c r="F85" s="260"/>
      <c r="H85" s="259"/>
    </row>
    <row r="86" spans="2:8" ht="14.25" customHeight="1">
      <c r="B86" s="259"/>
      <c r="F86" s="260"/>
      <c r="H86" s="259"/>
    </row>
    <row r="87" spans="2:8" ht="14.25" customHeight="1">
      <c r="B87" s="259"/>
      <c r="F87" s="260"/>
      <c r="H87" s="259"/>
    </row>
    <row r="88" spans="2:8" ht="14.25" customHeight="1">
      <c r="B88" s="259"/>
      <c r="F88" s="260"/>
      <c r="H88" s="259"/>
    </row>
    <row r="89" spans="2:8" ht="14.25" customHeight="1">
      <c r="B89" s="259"/>
      <c r="F89" s="260"/>
      <c r="H89" s="259"/>
    </row>
    <row r="90" spans="2:8" ht="14.25" customHeight="1">
      <c r="B90" s="259"/>
      <c r="F90" s="260"/>
      <c r="H90" s="259"/>
    </row>
    <row r="91" spans="2:8" ht="14.25" customHeight="1">
      <c r="B91" s="259"/>
      <c r="F91" s="260"/>
      <c r="H91" s="259"/>
    </row>
    <row r="92" spans="2:8" ht="14.25" customHeight="1">
      <c r="B92" s="259"/>
      <c r="F92" s="260"/>
      <c r="H92" s="259"/>
    </row>
    <row r="93" spans="2:8" ht="14.25" customHeight="1">
      <c r="B93" s="259"/>
      <c r="F93" s="260"/>
      <c r="H93" s="259"/>
    </row>
    <row r="94" spans="2:8" ht="14.25" customHeight="1">
      <c r="B94" s="259"/>
      <c r="F94" s="260"/>
      <c r="H94" s="259"/>
    </row>
    <row r="95" spans="2:8" ht="14.25" customHeight="1">
      <c r="B95" s="259"/>
      <c r="F95" s="260"/>
      <c r="H95" s="259"/>
    </row>
    <row r="96" spans="2:8" ht="14.25" customHeight="1">
      <c r="B96" s="259"/>
      <c r="F96" s="260"/>
      <c r="H96" s="259"/>
    </row>
    <row r="97" spans="2:8" ht="14.25" customHeight="1">
      <c r="B97" s="259"/>
      <c r="F97" s="260"/>
      <c r="H97" s="259"/>
    </row>
    <row r="98" spans="2:8" ht="14.25" customHeight="1">
      <c r="B98" s="259"/>
      <c r="F98" s="260"/>
      <c r="H98" s="259"/>
    </row>
    <row r="99" spans="2:8" ht="14.25" customHeight="1">
      <c r="B99" s="259"/>
      <c r="F99" s="260"/>
      <c r="H99" s="259"/>
    </row>
    <row r="100" spans="2:8" ht="14.25" customHeight="1">
      <c r="B100" s="259"/>
      <c r="F100" s="260"/>
      <c r="H100" s="259"/>
    </row>
    <row r="101" spans="2:8" ht="14.25" customHeight="1">
      <c r="B101" s="259"/>
      <c r="F101" s="260"/>
      <c r="H101" s="259"/>
    </row>
    <row r="102" spans="2:8" ht="14.25" customHeight="1">
      <c r="B102" s="259"/>
      <c r="F102" s="260"/>
      <c r="H102" s="259"/>
    </row>
    <row r="103" spans="2:8" ht="14.25" customHeight="1">
      <c r="B103" s="259"/>
      <c r="F103" s="260"/>
      <c r="H103" s="259"/>
    </row>
    <row r="104" spans="2:8" ht="14.25" customHeight="1">
      <c r="B104" s="259"/>
      <c r="F104" s="260"/>
      <c r="H104" s="259"/>
    </row>
    <row r="105" spans="2:8" ht="14.25" customHeight="1">
      <c r="B105" s="259"/>
      <c r="F105" s="260"/>
      <c r="H105" s="259"/>
    </row>
    <row r="106" spans="2:8" ht="14.25" customHeight="1">
      <c r="B106" s="259"/>
      <c r="F106" s="260"/>
      <c r="H106" s="259"/>
    </row>
    <row r="107" spans="2:8" ht="14.25" customHeight="1">
      <c r="B107" s="259"/>
      <c r="F107" s="260"/>
      <c r="H107" s="259"/>
    </row>
    <row r="108" spans="2:8" ht="14.25" customHeight="1">
      <c r="B108" s="259"/>
      <c r="F108" s="260"/>
      <c r="H108" s="259"/>
    </row>
    <row r="109" spans="2:8" ht="14.25" customHeight="1">
      <c r="B109" s="259"/>
      <c r="F109" s="260"/>
      <c r="H109" s="259"/>
    </row>
    <row r="110" spans="2:8" ht="14.25" customHeight="1">
      <c r="B110" s="259"/>
      <c r="F110" s="260"/>
      <c r="H110" s="259"/>
    </row>
    <row r="111" spans="2:8" ht="14.25" customHeight="1">
      <c r="B111" s="259"/>
      <c r="F111" s="260"/>
      <c r="H111" s="259"/>
    </row>
    <row r="112" spans="2:8" ht="14.25" customHeight="1">
      <c r="B112" s="259"/>
      <c r="F112" s="260"/>
      <c r="H112" s="259"/>
    </row>
    <row r="113" spans="2:8" ht="14.25" customHeight="1">
      <c r="B113" s="259"/>
      <c r="F113" s="260"/>
      <c r="H113" s="259"/>
    </row>
    <row r="114" spans="2:8" ht="14.25" customHeight="1">
      <c r="B114" s="259"/>
      <c r="F114" s="260"/>
      <c r="H114" s="259"/>
    </row>
    <row r="115" spans="2:8" ht="14.25" customHeight="1">
      <c r="B115" s="259"/>
      <c r="F115" s="260"/>
      <c r="H115" s="259"/>
    </row>
    <row r="116" spans="2:8" ht="14.25" customHeight="1">
      <c r="B116" s="259"/>
      <c r="F116" s="260"/>
      <c r="H116" s="259"/>
    </row>
    <row r="117" spans="2:8" ht="14.25" customHeight="1">
      <c r="B117" s="259"/>
      <c r="F117" s="260"/>
      <c r="H117" s="259"/>
    </row>
    <row r="118" spans="2:8" ht="14.25" customHeight="1">
      <c r="B118" s="259"/>
      <c r="F118" s="260"/>
      <c r="H118" s="259"/>
    </row>
    <row r="119" spans="2:8" ht="14.25" customHeight="1">
      <c r="B119" s="259"/>
      <c r="F119" s="260"/>
      <c r="H119" s="259"/>
    </row>
    <row r="120" spans="2:8" ht="14.25" customHeight="1">
      <c r="B120" s="259"/>
      <c r="F120" s="260"/>
      <c r="H120" s="259"/>
    </row>
    <row r="121" spans="2:8" ht="14.25" customHeight="1">
      <c r="B121" s="259"/>
      <c r="F121" s="260"/>
      <c r="H121" s="259"/>
    </row>
    <row r="122" spans="2:8" ht="14.25" customHeight="1">
      <c r="B122" s="259"/>
      <c r="F122" s="260"/>
      <c r="H122" s="259"/>
    </row>
    <row r="123" spans="2:8" ht="14.25" customHeight="1">
      <c r="B123" s="259"/>
      <c r="F123" s="260"/>
      <c r="H123" s="259"/>
    </row>
    <row r="124" spans="2:8" ht="14.25" customHeight="1">
      <c r="B124" s="259"/>
      <c r="F124" s="260"/>
      <c r="H124" s="259"/>
    </row>
    <row r="125" spans="2:8" ht="14.25" customHeight="1">
      <c r="B125" s="259"/>
      <c r="F125" s="260"/>
      <c r="H125" s="259"/>
    </row>
    <row r="126" spans="2:8" ht="14.25" customHeight="1">
      <c r="B126" s="259"/>
      <c r="F126" s="260"/>
      <c r="H126" s="259"/>
    </row>
    <row r="127" spans="2:8" ht="14.25" customHeight="1">
      <c r="B127" s="259"/>
      <c r="F127" s="260"/>
      <c r="H127" s="259"/>
    </row>
    <row r="128" spans="2:8" ht="14.25" customHeight="1">
      <c r="B128" s="259"/>
      <c r="F128" s="260"/>
      <c r="H128" s="259"/>
    </row>
    <row r="129" spans="2:8" ht="14.25" customHeight="1">
      <c r="B129" s="259"/>
      <c r="F129" s="260"/>
      <c r="H129" s="259"/>
    </row>
    <row r="130" spans="2:8" ht="14.25" customHeight="1">
      <c r="B130" s="259"/>
      <c r="F130" s="260"/>
      <c r="H130" s="259"/>
    </row>
    <row r="131" spans="2:8" ht="14.25" customHeight="1">
      <c r="B131" s="259"/>
      <c r="F131" s="260"/>
      <c r="H131" s="259"/>
    </row>
    <row r="132" spans="2:8" ht="14.25" customHeight="1">
      <c r="B132" s="259"/>
      <c r="F132" s="260"/>
      <c r="H132" s="259"/>
    </row>
    <row r="133" spans="2:8" ht="14.25" customHeight="1">
      <c r="B133" s="259"/>
      <c r="F133" s="260"/>
      <c r="H133" s="259"/>
    </row>
    <row r="134" spans="2:8" ht="14.25" customHeight="1">
      <c r="B134" s="259"/>
      <c r="F134" s="260"/>
      <c r="H134" s="259"/>
    </row>
    <row r="135" spans="2:8" ht="14.25" customHeight="1">
      <c r="B135" s="259"/>
      <c r="F135" s="260"/>
      <c r="H135" s="259"/>
    </row>
    <row r="136" spans="2:8" ht="14.25" customHeight="1">
      <c r="B136" s="259"/>
      <c r="F136" s="260"/>
      <c r="H136" s="259"/>
    </row>
    <row r="137" spans="2:8" ht="14.25" customHeight="1">
      <c r="B137" s="259"/>
      <c r="F137" s="260"/>
      <c r="H137" s="259"/>
    </row>
    <row r="138" spans="2:8" ht="14.25" customHeight="1">
      <c r="B138" s="259"/>
      <c r="F138" s="260"/>
      <c r="H138" s="259"/>
    </row>
    <row r="139" spans="2:8" ht="14.25" customHeight="1">
      <c r="B139" s="259"/>
      <c r="F139" s="260"/>
      <c r="H139" s="259"/>
    </row>
    <row r="140" spans="2:8" ht="14.25" customHeight="1">
      <c r="B140" s="259"/>
      <c r="F140" s="260"/>
      <c r="H140" s="259"/>
    </row>
    <row r="141" spans="2:8" ht="14.25" customHeight="1">
      <c r="B141" s="259"/>
      <c r="F141" s="260"/>
      <c r="H141" s="259"/>
    </row>
    <row r="142" spans="2:8" ht="14.25" customHeight="1">
      <c r="B142" s="259"/>
      <c r="F142" s="260"/>
      <c r="H142" s="259"/>
    </row>
    <row r="143" spans="2:8" ht="14.25" customHeight="1">
      <c r="B143" s="259"/>
      <c r="F143" s="260"/>
      <c r="H143" s="259"/>
    </row>
    <row r="144" spans="2:8" ht="14.25" customHeight="1">
      <c r="B144" s="259"/>
      <c r="F144" s="260"/>
      <c r="H144" s="259"/>
    </row>
    <row r="145" spans="2:8" ht="14.25" customHeight="1">
      <c r="B145" s="259"/>
      <c r="F145" s="260"/>
      <c r="H145" s="259"/>
    </row>
    <row r="146" spans="2:8" ht="14.25" customHeight="1">
      <c r="B146" s="259"/>
      <c r="F146" s="260"/>
      <c r="H146" s="259"/>
    </row>
    <row r="147" spans="2:8" ht="14.25" customHeight="1">
      <c r="B147" s="259"/>
      <c r="F147" s="260"/>
      <c r="H147" s="259"/>
    </row>
    <row r="148" spans="2:8" ht="14.25" customHeight="1">
      <c r="B148" s="259"/>
      <c r="F148" s="260"/>
      <c r="H148" s="259"/>
    </row>
    <row r="149" spans="2:8" ht="14.25" customHeight="1">
      <c r="B149" s="259"/>
      <c r="F149" s="260"/>
      <c r="H149" s="259"/>
    </row>
    <row r="150" spans="2:8" ht="14.25" customHeight="1">
      <c r="B150" s="259"/>
      <c r="F150" s="260"/>
      <c r="H150" s="259"/>
    </row>
    <row r="151" spans="2:8" ht="14.25" customHeight="1">
      <c r="B151" s="259"/>
      <c r="F151" s="260"/>
      <c r="H151" s="259"/>
    </row>
    <row r="152" spans="2:8" ht="14.25" customHeight="1">
      <c r="B152" s="259"/>
      <c r="F152" s="260"/>
      <c r="H152" s="259"/>
    </row>
    <row r="153" spans="2:8" ht="14.25" customHeight="1">
      <c r="B153" s="259"/>
      <c r="F153" s="260"/>
      <c r="H153" s="259"/>
    </row>
    <row r="154" spans="2:8" ht="14.25" customHeight="1">
      <c r="B154" s="259"/>
      <c r="F154" s="260"/>
      <c r="H154" s="259"/>
    </row>
    <row r="155" spans="2:8" ht="14.25" customHeight="1">
      <c r="B155" s="259"/>
      <c r="F155" s="260"/>
      <c r="H155" s="259"/>
    </row>
    <row r="156" spans="2:8" ht="14.25" customHeight="1">
      <c r="B156" s="259"/>
      <c r="F156" s="260"/>
      <c r="H156" s="259"/>
    </row>
    <row r="157" spans="2:8" ht="14.25" customHeight="1">
      <c r="B157" s="259"/>
      <c r="F157" s="260"/>
      <c r="H157" s="259"/>
    </row>
    <row r="158" spans="2:8" ht="14.25" customHeight="1">
      <c r="B158" s="259"/>
      <c r="F158" s="260"/>
      <c r="H158" s="259"/>
    </row>
    <row r="159" spans="2:8" ht="14.25" customHeight="1">
      <c r="B159" s="259"/>
      <c r="F159" s="260"/>
      <c r="H159" s="259"/>
    </row>
    <row r="160" spans="2:8" ht="14.25" customHeight="1">
      <c r="B160" s="259"/>
      <c r="F160" s="260"/>
      <c r="H160" s="259"/>
    </row>
    <row r="161" spans="2:8" ht="14.25" customHeight="1">
      <c r="B161" s="259"/>
      <c r="F161" s="260"/>
      <c r="H161" s="259"/>
    </row>
    <row r="162" spans="2:8" ht="14.25" customHeight="1">
      <c r="B162" s="259"/>
      <c r="F162" s="260"/>
      <c r="H162" s="259"/>
    </row>
    <row r="163" spans="2:8" ht="14.25" customHeight="1">
      <c r="B163" s="259"/>
      <c r="F163" s="260"/>
      <c r="H163" s="259"/>
    </row>
    <row r="164" spans="2:8" ht="14.25" customHeight="1">
      <c r="B164" s="259"/>
      <c r="F164" s="260"/>
      <c r="H164" s="259"/>
    </row>
    <row r="165" spans="2:8" ht="14.25" customHeight="1">
      <c r="B165" s="259"/>
      <c r="F165" s="260"/>
      <c r="H165" s="259"/>
    </row>
    <row r="166" spans="2:8" ht="14.25" customHeight="1">
      <c r="B166" s="259"/>
      <c r="F166" s="260"/>
      <c r="H166" s="259"/>
    </row>
    <row r="167" spans="2:8" ht="14.25" customHeight="1">
      <c r="B167" s="259"/>
      <c r="F167" s="260"/>
      <c r="H167" s="259"/>
    </row>
    <row r="168" spans="2:8" ht="14.25" customHeight="1">
      <c r="B168" s="259"/>
      <c r="F168" s="260"/>
      <c r="H168" s="259"/>
    </row>
    <row r="169" spans="2:8" ht="14.25" customHeight="1">
      <c r="B169" s="259"/>
      <c r="F169" s="260"/>
      <c r="H169" s="259"/>
    </row>
    <row r="170" spans="2:8" ht="14.25" customHeight="1">
      <c r="B170" s="259"/>
      <c r="F170" s="260"/>
      <c r="H170" s="259"/>
    </row>
    <row r="171" spans="2:8" ht="14.25" customHeight="1">
      <c r="B171" s="259"/>
      <c r="F171" s="260"/>
      <c r="H171" s="259"/>
    </row>
    <row r="172" spans="2:8" ht="14.25" customHeight="1">
      <c r="B172" s="259"/>
      <c r="F172" s="260"/>
      <c r="H172" s="259"/>
    </row>
    <row r="173" spans="2:8" ht="14.25" customHeight="1">
      <c r="B173" s="259"/>
      <c r="F173" s="260"/>
      <c r="H173" s="259"/>
    </row>
    <row r="174" spans="2:8" ht="14.25" customHeight="1">
      <c r="B174" s="259"/>
      <c r="F174" s="260"/>
      <c r="H174" s="259"/>
    </row>
    <row r="175" spans="2:8" ht="14.25" customHeight="1">
      <c r="B175" s="259"/>
      <c r="F175" s="260"/>
      <c r="H175" s="259"/>
    </row>
    <row r="176" spans="2:8" ht="14.25" customHeight="1">
      <c r="B176" s="259"/>
      <c r="F176" s="260"/>
      <c r="H176" s="259"/>
    </row>
    <row r="177" spans="2:8" ht="14.25" customHeight="1">
      <c r="B177" s="259"/>
      <c r="F177" s="260"/>
      <c r="H177" s="259"/>
    </row>
    <row r="178" spans="2:8" ht="14.25" customHeight="1">
      <c r="B178" s="259"/>
      <c r="F178" s="260"/>
      <c r="H178" s="259"/>
    </row>
    <row r="179" spans="2:8" ht="14.25" customHeight="1">
      <c r="B179" s="259"/>
      <c r="F179" s="260"/>
      <c r="H179" s="259"/>
    </row>
    <row r="180" spans="2:8" ht="14.25" customHeight="1">
      <c r="B180" s="259"/>
      <c r="F180" s="260"/>
      <c r="H180" s="259"/>
    </row>
    <row r="181" spans="2:8" ht="14.25" customHeight="1">
      <c r="B181" s="259"/>
      <c r="F181" s="260"/>
      <c r="H181" s="259"/>
    </row>
    <row r="182" spans="2:8" ht="14.25" customHeight="1">
      <c r="B182" s="259"/>
      <c r="F182" s="260"/>
      <c r="H182" s="259"/>
    </row>
    <row r="183" spans="2:8" ht="14.25" customHeight="1">
      <c r="B183" s="259"/>
      <c r="F183" s="260"/>
      <c r="H183" s="259"/>
    </row>
    <row r="184" spans="2:8" ht="14.25" customHeight="1">
      <c r="B184" s="259"/>
      <c r="F184" s="260"/>
      <c r="H184" s="259"/>
    </row>
    <row r="185" spans="2:8" ht="14.25" customHeight="1">
      <c r="B185" s="259"/>
      <c r="F185" s="260"/>
      <c r="H185" s="259"/>
    </row>
    <row r="186" spans="2:8" ht="14.25" customHeight="1">
      <c r="B186" s="259"/>
      <c r="F186" s="260"/>
      <c r="H186" s="259"/>
    </row>
    <row r="187" spans="2:8" ht="14.25" customHeight="1">
      <c r="B187" s="259"/>
      <c r="F187" s="260"/>
      <c r="H187" s="259"/>
    </row>
    <row r="188" spans="2:8" ht="14.25" customHeight="1">
      <c r="B188" s="259"/>
      <c r="F188" s="260"/>
      <c r="H188" s="259"/>
    </row>
    <row r="189" spans="2:8" ht="14.25" customHeight="1">
      <c r="B189" s="259"/>
      <c r="F189" s="260"/>
      <c r="H189" s="259"/>
    </row>
    <row r="190" spans="2:8" ht="14.25" customHeight="1">
      <c r="B190" s="259"/>
      <c r="F190" s="260"/>
      <c r="H190" s="259"/>
    </row>
    <row r="191" spans="2:8" ht="14.25" customHeight="1">
      <c r="B191" s="259"/>
      <c r="F191" s="260"/>
      <c r="H191" s="259"/>
    </row>
    <row r="192" spans="2:8" ht="14.25" customHeight="1">
      <c r="B192" s="259"/>
      <c r="F192" s="260"/>
      <c r="H192" s="259"/>
    </row>
    <row r="193" spans="2:8" ht="14.25" customHeight="1">
      <c r="B193" s="259"/>
      <c r="F193" s="260"/>
      <c r="H193" s="259"/>
    </row>
    <row r="194" spans="2:8" ht="14.25" customHeight="1">
      <c r="B194" s="259"/>
      <c r="F194" s="260"/>
      <c r="H194" s="259"/>
    </row>
    <row r="195" spans="2:8" ht="14.25" customHeight="1">
      <c r="B195" s="259"/>
      <c r="F195" s="260"/>
      <c r="H195" s="259"/>
    </row>
    <row r="196" spans="2:8" ht="14.25" customHeight="1">
      <c r="B196" s="259"/>
      <c r="F196" s="260"/>
      <c r="H196" s="259"/>
    </row>
    <row r="197" spans="2:8" ht="14.25" customHeight="1">
      <c r="B197" s="259"/>
      <c r="F197" s="260"/>
      <c r="H197" s="259"/>
    </row>
    <row r="198" spans="2:8" ht="14.25" customHeight="1">
      <c r="B198" s="259"/>
      <c r="F198" s="260"/>
      <c r="H198" s="259"/>
    </row>
    <row r="199" spans="2:8" ht="14.25" customHeight="1">
      <c r="B199" s="259"/>
      <c r="F199" s="260"/>
      <c r="H199" s="259"/>
    </row>
    <row r="200" spans="2:8" ht="14.25" customHeight="1">
      <c r="B200" s="259"/>
      <c r="F200" s="260"/>
      <c r="H200" s="259"/>
    </row>
    <row r="201" spans="2:8" ht="14.25" customHeight="1">
      <c r="B201" s="259"/>
      <c r="F201" s="260"/>
      <c r="H201" s="259"/>
    </row>
    <row r="202" spans="2:8" ht="14.25" customHeight="1">
      <c r="B202" s="259"/>
      <c r="F202" s="260"/>
      <c r="H202" s="259"/>
    </row>
    <row r="203" spans="2:8" ht="14.25" customHeight="1">
      <c r="B203" s="259"/>
      <c r="F203" s="260"/>
      <c r="H203" s="259"/>
    </row>
    <row r="204" spans="2:8" ht="14.25" customHeight="1">
      <c r="B204" s="259"/>
      <c r="F204" s="260"/>
      <c r="H204" s="259"/>
    </row>
    <row r="205" spans="2:8" ht="14.25" customHeight="1">
      <c r="B205" s="259"/>
      <c r="F205" s="260"/>
      <c r="H205" s="259"/>
    </row>
    <row r="206" spans="2:8" ht="14.25" customHeight="1">
      <c r="B206" s="259"/>
      <c r="F206" s="260"/>
      <c r="H206" s="259"/>
    </row>
    <row r="207" spans="2:8" ht="14.25" customHeight="1">
      <c r="B207" s="259"/>
      <c r="F207" s="260"/>
      <c r="H207" s="259"/>
    </row>
    <row r="208" spans="2:8" ht="14.25" customHeight="1">
      <c r="B208" s="259"/>
      <c r="F208" s="260"/>
      <c r="H208" s="259"/>
    </row>
    <row r="209" spans="2:8" ht="14.25" customHeight="1">
      <c r="B209" s="259"/>
      <c r="F209" s="260"/>
      <c r="H209" s="259"/>
    </row>
    <row r="210" spans="2:8" ht="14.25" customHeight="1">
      <c r="B210" s="259"/>
      <c r="F210" s="260"/>
      <c r="H210" s="259"/>
    </row>
    <row r="211" spans="2:8" ht="14.25" customHeight="1">
      <c r="B211" s="259"/>
      <c r="F211" s="260"/>
      <c r="H211" s="259"/>
    </row>
    <row r="212" spans="2:8" ht="14.25" customHeight="1">
      <c r="B212" s="259"/>
      <c r="F212" s="260"/>
      <c r="H212" s="259"/>
    </row>
    <row r="213" spans="2:8" ht="14.25" customHeight="1">
      <c r="B213" s="259"/>
      <c r="F213" s="260"/>
      <c r="H213" s="259"/>
    </row>
    <row r="214" spans="2:8" ht="14.25" customHeight="1">
      <c r="B214" s="259"/>
      <c r="F214" s="260"/>
      <c r="H214" s="259"/>
    </row>
    <row r="215" spans="2:8" ht="14.25" customHeight="1">
      <c r="B215" s="259"/>
      <c r="F215" s="260"/>
      <c r="H215" s="259"/>
    </row>
    <row r="216" spans="2:8" ht="14.25" customHeight="1">
      <c r="B216" s="259"/>
      <c r="F216" s="260"/>
      <c r="H216" s="259"/>
    </row>
    <row r="217" spans="2:8" ht="14.25" customHeight="1">
      <c r="B217" s="259"/>
      <c r="F217" s="260"/>
      <c r="H217" s="259"/>
    </row>
    <row r="218" spans="2:8" ht="14.25" customHeight="1">
      <c r="B218" s="259"/>
      <c r="F218" s="260"/>
      <c r="H218" s="259"/>
    </row>
    <row r="219" spans="2:8" ht="14.25" customHeight="1">
      <c r="B219" s="259"/>
      <c r="F219" s="260"/>
      <c r="H219" s="259"/>
    </row>
    <row r="220" spans="2:8" ht="14.25" customHeight="1">
      <c r="B220" s="259"/>
      <c r="F220" s="260"/>
      <c r="H220" s="259"/>
    </row>
    <row r="221" spans="2:8" ht="14.25" customHeight="1">
      <c r="B221" s="259"/>
      <c r="F221" s="260"/>
      <c r="H221" s="259"/>
    </row>
    <row r="222" spans="2:8" ht="14.25" customHeight="1">
      <c r="B222" s="259"/>
      <c r="F222" s="260"/>
      <c r="H222" s="259"/>
    </row>
    <row r="223" spans="2:8" ht="14.25" customHeight="1">
      <c r="B223" s="259"/>
      <c r="F223" s="260"/>
      <c r="H223" s="259"/>
    </row>
    <row r="224" spans="2:8" ht="14.25" customHeight="1">
      <c r="B224" s="259"/>
      <c r="F224" s="260"/>
      <c r="H224" s="259"/>
    </row>
    <row r="225" spans="2:8" ht="14.25" customHeight="1">
      <c r="B225" s="259"/>
      <c r="F225" s="260"/>
      <c r="H225" s="259"/>
    </row>
    <row r="226" spans="2:8" ht="14.25" customHeight="1">
      <c r="B226" s="259"/>
      <c r="F226" s="260"/>
      <c r="H226" s="259"/>
    </row>
    <row r="227" spans="2:8" ht="14.25" customHeight="1">
      <c r="B227" s="259"/>
      <c r="F227" s="260"/>
      <c r="H227" s="259"/>
    </row>
    <row r="228" spans="2:8" ht="14.25" customHeight="1">
      <c r="B228" s="259"/>
      <c r="F228" s="260"/>
      <c r="H228" s="259"/>
    </row>
    <row r="229" spans="2:8" ht="14.25" customHeight="1">
      <c r="B229" s="259"/>
      <c r="F229" s="260"/>
      <c r="H229" s="259"/>
    </row>
    <row r="230" spans="2:8" ht="14.25" customHeight="1">
      <c r="B230" s="259"/>
      <c r="F230" s="260"/>
      <c r="H230" s="259"/>
    </row>
    <row r="231" spans="2:8" ht="14.25" customHeight="1">
      <c r="B231" s="259"/>
      <c r="F231" s="260"/>
      <c r="H231" s="259"/>
    </row>
    <row r="232" spans="2:8" ht="14.25" customHeight="1">
      <c r="B232" s="259"/>
      <c r="F232" s="260"/>
      <c r="H232" s="259"/>
    </row>
    <row r="233" spans="2:8" ht="14.25" customHeight="1">
      <c r="B233" s="259"/>
      <c r="F233" s="260"/>
      <c r="H233" s="259"/>
    </row>
    <row r="234" spans="2:8" ht="14.25" customHeight="1">
      <c r="B234" s="259"/>
      <c r="F234" s="260"/>
      <c r="H234" s="259"/>
    </row>
    <row r="235" spans="2:8" ht="14.25" customHeight="1">
      <c r="B235" s="259"/>
      <c r="F235" s="260"/>
      <c r="H235" s="259"/>
    </row>
    <row r="236" spans="2:8" ht="15.75" customHeight="1"/>
    <row r="237" spans="2:8" ht="15.75" customHeight="1"/>
    <row r="238" spans="2:8" ht="15.75" customHeight="1"/>
    <row r="239" spans="2:8" ht="15.75" customHeight="1"/>
    <row r="240" spans="2: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1"/>
    <mergeCell ref="G1:K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Executive</vt:lpstr>
      <vt:lpstr>Regular</vt:lpstr>
      <vt:lpstr>ENMARK</vt:lpstr>
      <vt:lpstr>MCP Output Test</vt:lpstr>
      <vt:lpstr>Short Semester Team Teaching</vt:lpstr>
      <vt:lpstr>COMBINED SCHEDULE DRAFT</vt:lpstr>
      <vt:lpstr>MCP DRAFT V2</vt:lpstr>
      <vt:lpstr>COMBINED SCHEDULE DRAFT ALT</vt:lpstr>
      <vt:lpstr>JUNE</vt:lpstr>
      <vt:lpstr>JULY</vt:lpstr>
      <vt:lpstr>AUGUST</vt:lpstr>
      <vt:lpstr>SEPTEMBER</vt:lpstr>
      <vt:lpstr>Time and Session Reference Shee</vt:lpstr>
      <vt:lpstr>Scheduling Tool</vt:lpstr>
      <vt:lpstr>Intake</vt:lpstr>
      <vt:lpstr>MCP DRAFT (OLD)</vt:lpstr>
      <vt:lpstr>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Raden Avidzar Malick Abdurrahim</cp:lastModifiedBy>
  <dcterms:modified xsi:type="dcterms:W3CDTF">2026-05-11T17:07:39Z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Enabled">
    <vt:lpwstr>true</vt:lpwstr>
  </property>
  <property fmtid="{D5CDD505-2E9C-101B-9397-08002B2CF9AE}" pid="3" name="MSIP_Label_38b525e5-f3da-4501-8f1e-526b6769fc56_SetDate">
    <vt:lpwstr>2026-05-11T03:07:01Z</vt:lpwstr>
  </property>
  <property fmtid="{D5CDD505-2E9C-101B-9397-08002B2CF9AE}" pid="4" name="MSIP_Label_38b525e5-f3da-4501-8f1e-526b6769fc56_Method">
    <vt:lpwstr>Standard</vt:lpwstr>
  </property>
  <property fmtid="{D5CDD505-2E9C-101B-9397-08002B2CF9AE}" pid="5" name="MSIP_Label_38b525e5-f3da-4501-8f1e-526b6769fc56_Name">
    <vt:lpwstr>defa4170-0d19-0005-0004-bc88714345d2</vt:lpwstr>
  </property>
  <property fmtid="{D5CDD505-2E9C-101B-9397-08002B2CF9AE}" pid="6" name="MSIP_Label_38b525e5-f3da-4501-8f1e-526b6769fc56_SiteId">
    <vt:lpwstr>db6e1183-4c65-405c-82ce-7cd53fa6e9dc</vt:lpwstr>
  </property>
  <property fmtid="{D5CDD505-2E9C-101B-9397-08002B2CF9AE}" pid="7" name="MSIP_Label_38b525e5-f3da-4501-8f1e-526b6769fc56_ActionId">
    <vt:lpwstr>d5ced4d1-6aee-4ff8-ba86-3111a64d8389</vt:lpwstr>
  </property>
  <property fmtid="{D5CDD505-2E9C-101B-9397-08002B2CF9AE}" pid="8" name="MSIP_Label_38b525e5-f3da-4501-8f1e-526b6769fc56_ContentBits">
    <vt:lpwstr>0</vt:lpwstr>
  </property>
  <property fmtid="{D5CDD505-2E9C-101B-9397-08002B2CF9AE}" pid="9" name="MSIP_Label_38b525e5-f3da-4501-8f1e-526b6769fc56_Tag">
    <vt:lpwstr>10, 3, 0, 1</vt:lpwstr>
  </property>
</Properties>
</file>